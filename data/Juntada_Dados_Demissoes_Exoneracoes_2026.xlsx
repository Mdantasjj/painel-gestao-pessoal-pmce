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b4598fb46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issões e Exonerações" sheetId="1" r:id="R201b35a9e985415b"/>
    <x:sheet xmlns:r="http://schemas.openxmlformats.org/officeDocument/2006/relationships" name="Efetivo Bases Satélite" sheetId="2" r:id="R3e57008b7fae48e3"/>
    <x:sheet xmlns:r="http://schemas.openxmlformats.org/officeDocument/2006/relationships" name="Déficit Efetivo 2026" sheetId="3" r:id="R5fd1d510508e4591"/>
    <x:sheet xmlns:r="http://schemas.openxmlformats.org/officeDocument/2006/relationships" name="Efetivo COPAC" sheetId="4" r:id="R2bff6edef82f4445"/>
    <x:sheet xmlns:r="http://schemas.openxmlformats.org/officeDocument/2006/relationships" name="Promoções Requeridas 2026" sheetId="5" r:id="Rc8fb8ca248b8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+#,##0;-#,##0;0"/>
    <x:numFmt numFmtId="202" formatCode="0.0%"/>
  </x:numFmts>
  <x:fonts count="29">
    <x:font>
      <x:sz val="11"/>
      <x:name val="Carlito"/>
    </x:font>
    <x:font>
      <x:b/>
      <x:sz val="18"/>
      <x:color rgb="FFFFFFFF"/>
      <x:name val="Aptos Display"/>
    </x:font>
    <x:font>
      <x:sz val="10"/>
      <x:color rgb="FFEAF4EF"/>
      <x:name val="Aptos"/>
    </x:font>
    <x:font>
      <x:b/>
      <x:sz val="10"/>
      <x:color rgb="FF155E3B"/>
      <x:name val="Aptos"/>
    </x:font>
    <x:font>
      <x:b/>
      <x:sz val="24"/>
      <x:color rgb="FF0B3B2A"/>
      <x:name val="Aptos Display"/>
    </x:font>
    <x:font>
      <x:b/>
      <x:sz val="10"/>
      <x:color rgb="FFFFFFFF"/>
      <x:name val="Aptos"/>
    </x:font>
    <x:font>
      <x:sz val="11"/>
      <x:color rgb="FF20342A"/>
      <x:name val="Aptos"/>
    </x:font>
    <x:font>
      <x:b/>
      <x:sz val="11"/>
      <x:color rgb="FF0B3B2A"/>
      <x:name val="Aptos"/>
    </x:font>
    <x:font>
      <x:i/>
      <x:sz val="9"/>
      <x:color rgb="FF5B6B62"/>
      <x:name val="Aptos"/>
    </x:font>
    <x:font>
      <x:b/>
      <x:sz val="9"/>
      <x:color rgb="FF155E3B"/>
      <x:name val="Aptos"/>
    </x:font>
    <x:font>
      <x:b/>
      <x:sz val="22"/>
      <x:color rgb="FF0B3B2A"/>
      <x:name val="Aptos Display"/>
    </x:font>
    <x:font>
      <x:b/>
      <x:sz val="9"/>
      <x:color rgb="FFFFFFFF"/>
      <x:name val="Aptos"/>
    </x:font>
    <x:font>
      <x:sz val="10"/>
      <x:color rgb="FF20342A"/>
      <x:name val="Aptos"/>
    </x:font>
    <x:font>
      <x:b/>
      <x:sz val="10"/>
      <x:color rgb="FF0B3B2A"/>
      <x:name val="Aptos"/>
    </x:font>
    <x:font>
      <x:b/>
      <x:sz val="11"/>
      <x:color rgb="FFFFFFFF"/>
      <x:name val="Aptos"/>
    </x:font>
    <x:font>
      <x:sz val="9"/>
      <x:color rgb="FF20342A"/>
      <x:name val="Aptos"/>
    </x:font>
    <x:font>
      <x:b/>
      <x:sz val="9"/>
      <x:color rgb="FF0B3B2A"/>
      <x:name val="Aptos"/>
    </x:font>
    <x:font>
      <x:i/>
      <x:sz val="8"/>
      <x:color rgb="FF5B6B62"/>
      <x:name val="Aptos"/>
    </x:font>
    <x:font>
      <x:sz val="11"/>
      <x:color rgb="FFFFFFFF"/>
      <x:name val="Carlito"/>
    </x:font>
    <x:font>
      <x:b/>
      <x:sz val="20"/>
      <x:color rgb="FFFFFFFF"/>
      <x:name val="Arial"/>
    </x:font>
    <x:font>
      <x:sz val="11"/>
      <x:color rgb="FFFFFFFF"/>
      <x:name val="Arial"/>
    </x:font>
    <x:font>
      <x:b/>
      <x:sz val="10"/>
      <x:color rgb="FF176B49"/>
      <x:name val="Arial"/>
    </x:font>
    <x:font>
      <x:b/>
      <x:sz val="24"/>
      <x:color rgb="FF0B4D3B"/>
      <x:name val="Arial"/>
    </x:font>
    <x:font>
      <x:b/>
      <x:sz val="9"/>
      <x:color rgb="FFFFFFFF"/>
      <x:name val="Arial"/>
    </x:font>
    <x:font>
      <x:sz val="10"/>
      <x:color rgb="FF243A32"/>
      <x:name val="Arial"/>
    </x:font>
    <x:font>
      <x:b/>
      <x:sz val="10"/>
      <x:color rgb="FF0B4D3B"/>
      <x:name val="Arial"/>
    </x:font>
    <x:font>
      <x:b/>
      <x:sz val="11"/>
      <x:color rgb="FFFFFFFF"/>
      <x:name val="Arial"/>
    </x:font>
    <x:font>
      <x:i/>
      <x:sz val="8"/>
      <x:color rgb="FF68776F"/>
      <x:name val="Arial"/>
    </x:font>
    <x:font>
      <x:b/>
      <x:sz val="9"/>
      <x:color rgb="FF176B49"/>
      <x:name val="Arial"/>
    </x:font>
  </x:fonts>
  <x:fills count="30">
    <x:fill>
      <x:patternFill patternType="none"/>
    </x:fill>
    <x:fill>
      <x:patternFill patternType="gray125"/>
    </x:fill>
    <x:fill>
      <x:patternFill patternType="solid">
        <x:fgColor rgb="FF0B3B2A"/>
      </x:patternFill>
    </x:fill>
    <x:fill>
      <x:patternFill patternType="solid">
        <x:fgColor rgb="FF155E3B"/>
      </x:patternFill>
    </x:fill>
    <x:fill>
      <x:patternFill patternType="solid">
        <x:fgColor rgb="FFDDECE4"/>
      </x:patternFill>
    </x:fill>
    <x:fill>
      <x:patternFill patternType="solid">
        <x:fgColor rgb="FFF7FAF8"/>
      </x:patternFill>
    </x:fill>
    <x:fill>
      <x:patternFill patternType="solid">
        <x:fgColor rgb="FFFFFFFF"/>
      </x:patternFill>
    </x:fill>
    <x:fill>
      <x:patternFill patternType="solid">
        <x:fgColor rgb="FFF4F8F5"/>
      </x:patternFill>
    </x:fill>
    <x:fill>
      <x:patternFill patternType="solid">
        <x:fgColor rgb="FF0B3B2A"/>
      </x:patternFill>
    </x:fill>
    <x:fill>
      <x:patternFill patternType="solid">
        <x:fgColor rgb="FF155E3B"/>
      </x:patternFill>
    </x:fill>
    <x:fill>
      <x:patternFill patternType="solid">
        <x:fgColor rgb="FFDDECE4"/>
      </x:patternFill>
    </x:fill>
    <x:fill>
      <x:patternFill patternType="solid">
        <x:fgColor rgb="FFF7FAF8"/>
      </x:patternFill>
    </x:fill>
    <x:fill>
      <x:patternFill patternType="solid">
        <x:fgColor rgb="FFF4F8F5"/>
      </x:patternFill>
    </x:fill>
    <x:fill>
      <x:patternFill patternType="solid">
        <x:fgColor rgb="FFEEF5F0"/>
      </x:patternFill>
    </x:fill>
    <x:fill>
      <x:patternFill patternType="solid">
        <x:fgColor rgb="FFFFF7E3"/>
      </x:patternFill>
    </x:fill>
    <x:fill>
      <x:patternFill patternType="solid">
        <x:fgColor rgb="FF0B3B2A"/>
      </x:patternFill>
    </x:fill>
    <x:fill>
      <x:patternFill patternType="solid">
        <x:fgColor rgb="FF155E3B"/>
      </x:patternFill>
    </x:fill>
    <x:fill>
      <x:patternFill patternType="solid">
        <x:fgColor rgb="FFDDECE4"/>
      </x:patternFill>
    </x:fill>
    <x:fill>
      <x:patternFill patternType="solid">
        <x:fgColor rgb="FFF7FAF8"/>
      </x:patternFill>
    </x:fill>
    <x:fill>
      <x:patternFill patternType="solid">
        <x:fgColor rgb="FFEEF5F0"/>
      </x:patternFill>
    </x:fill>
    <x:fill>
      <x:patternFill patternType="solid">
        <x:fgColor rgb="FFF4F8F5"/>
      </x:patternFill>
    </x:fill>
    <x:fill>
      <x:patternFill patternType="solid">
        <x:fgColor rgb="FFFFFFFF"/>
      </x:patternFill>
    </x:fill>
    <x:fill>
      <x:patternFill patternType="solid">
        <x:fgColor rgb="FF0B4D3B"/>
      </x:patternFill>
    </x:fill>
    <x:fill>
      <x:patternFill patternType="solid">
        <x:fgColor rgb="FF176B49"/>
      </x:patternFill>
    </x:fill>
    <x:fill>
      <x:patternFill patternType="solid">
        <x:fgColor rgb="FFDCEDE5"/>
      </x:patternFill>
    </x:fill>
    <x:fill>
      <x:patternFill patternType="solid">
        <x:fgColor rgb="FFF4F8F6"/>
      </x:patternFill>
    </x:fill>
    <x:fill>
      <x:patternFill patternType="solid">
        <x:fgColor rgb="FF0B4D3B"/>
      </x:patternFill>
    </x:fill>
    <x:fill>
      <x:patternFill patternType="solid">
        <x:fgColor rgb="FF176B49"/>
      </x:patternFill>
    </x:fill>
    <x:fill>
      <x:patternFill patternType="solid">
        <x:fgColor rgb="FFDCEDE5"/>
      </x:patternFill>
    </x:fill>
    <x:fill>
      <x:patternFill patternType="solid">
        <x:fgColor rgb="FFF4F8F6"/>
      </x:patternFill>
    </x:fill>
  </x:fills>
  <x:borders count="33">
    <x:border/>
    <x:border>
      <x:left style="thin">
        <x:color rgb="FFA9C9B8"/>
      </x:left>
      <x:top style="thin">
        <x:color rgb="FFA9C9B8"/>
      </x:top>
      <x:bottom style="thin">
        <x:color rgb="FFA9C9B8"/>
      </x:bottom>
    </x:border>
    <x:border>
      <x:right style="thin">
        <x:color rgb="FFA9C9B8"/>
      </x:right>
      <x:top style="thin">
        <x:color rgb="FFA9C9B8"/>
      </x:top>
      <x:bottom style="thin">
        <x:color rgb="FFA9C9B8"/>
      </x:bottom>
    </x:border>
    <x:border>
      <x:left style="thin">
        <x:color rgb="FFA9C9B8"/>
      </x:left>
      <x:top style="thin">
        <x:color rgb="FFA9C9B8"/>
      </x:top>
    </x:border>
    <x:border>
      <x:right style="thin">
        <x:color rgb="FFA9C9B8"/>
      </x:right>
      <x:top style="thin">
        <x:color rgb="FFA9C9B8"/>
      </x:top>
    </x:border>
    <x:border>
      <x:left style="thin">
        <x:color rgb="FFA9C9B8"/>
      </x:left>
      <x:bottom style="thin">
        <x:color rgb="FFA9C9B8"/>
      </x:bottom>
    </x:border>
    <x:border>
      <x:right style="thin">
        <x:color rgb="FFA9C9B8"/>
      </x:right>
      <x:bottom style="thin">
        <x:color rgb="FFA9C9B8"/>
      </x:bottom>
    </x:border>
    <x:border>
      <x:left style="medium">
        <x:color rgb="FF0B3B2A"/>
      </x:left>
      <x:top style="medium">
        <x:color rgb="FF0B3B2A"/>
      </x:top>
      <x:bottom style="medium">
        <x:color rgb="FF0B3B2A"/>
      </x:bottom>
    </x:border>
    <x:border>
      <x:top style="medium">
        <x:color rgb="FF0B3B2A"/>
      </x:top>
      <x:bottom style="medium">
        <x:color rgb="FF0B3B2A"/>
      </x:bottom>
    </x:border>
    <x:border>
      <x:right style="medium">
        <x:color rgb="FF0B3B2A"/>
      </x:right>
      <x:top style="medium">
        <x:color rgb="FF0B3B2A"/>
      </x:top>
      <x:bottom style="medium">
        <x:color rgb="FF0B3B2A"/>
      </x:bottom>
    </x:border>
    <x:border>
      <x:bottom style="thin">
        <x:color rgb="FFD8E5DD"/>
      </x:bottom>
    </x:border>
    <x:border>
      <x:top style="thin">
        <x:color rgb="FFD8E5DD"/>
      </x:top>
      <x:bottom style="thin">
        <x:color rgb="FFD8E5DD"/>
      </x:bottom>
    </x:border>
    <x:border>
      <x:top style="thin">
        <x:color rgb="FFD8E5DD"/>
      </x:top>
      <x:bottom style="thin">
        <x:color rgb="FFA9C9B8"/>
      </x:bottom>
    </x:border>
    <x:border>
      <x:top style="medium">
        <x:color rgb="FF155E3B"/>
      </x:top>
      <x:bottom style="medium">
        <x:color rgb="FF155E3B"/>
      </x:bottom>
    </x:border>
    <x:border>
      <x:top style="thin">
        <x:color rgb="FFA9C9B8"/>
      </x:top>
      <x:bottom style="thin">
        <x:color rgb="FFA9C9B8"/>
      </x:bottom>
    </x:border>
    <x:border>
      <x:top style="thin">
        <x:color rgb="FFA9C9B8"/>
      </x:top>
    </x:border>
    <x:border>
      <x:bottom style="thin">
        <x:color rgb="FFA9C9B8"/>
      </x:bottom>
    </x:border>
    <x:border>
      <x:top style="thin">
        <x:color rgb="FFD8E5DD"/>
      </x:top>
    </x:border>
    <x:border>
      <x:left style="thin">
        <x:color rgb="FFB8D6C8"/>
      </x:left>
      <x:top style="thin">
        <x:color rgb="FFB8D6C8"/>
      </x:top>
      <x:bottom style="thin">
        <x:color rgb="FFB8D6C8"/>
      </x:bottom>
    </x:border>
    <x:border>
      <x:right style="thin">
        <x:color rgb="FFB8D6C8"/>
      </x:right>
      <x:top style="thin">
        <x:color rgb="FFB8D6C8"/>
      </x:top>
      <x:bottom style="thin">
        <x:color rgb="FFB8D6C8"/>
      </x:bottom>
    </x:border>
    <x:border>
      <x:left style="thin">
        <x:color rgb="FFB8D6C8"/>
      </x:left>
      <x:top style="thin">
        <x:color rgb="FFB8D6C8"/>
      </x:top>
    </x:border>
    <x:border>
      <x:right style="thin">
        <x:color rgb="FFB8D6C8"/>
      </x:right>
      <x:top style="thin">
        <x:color rgb="FFB8D6C8"/>
      </x:top>
    </x:border>
    <x:border>
      <x:left style="thin">
        <x:color rgb="FFB8D6C8"/>
      </x:left>
      <x:bottom style="thin">
        <x:color rgb="FFB8D6C8"/>
      </x:bottom>
    </x:border>
    <x:border>
      <x:right style="thin">
        <x:color rgb="FFB8D6C8"/>
      </x:right>
      <x:bottom style="thin">
        <x:color rgb="FFB8D6C8"/>
      </x:bottom>
    </x:border>
    <x:border>
      <x:top style="thin">
        <x:color rgb="FFB8D6C8"/>
      </x:top>
      <x:bottom style="thin">
        <x:color rgb="FFB8D6C8"/>
      </x:bottom>
    </x:border>
    <x:border>
      <x:bottom style="medium">
        <x:color rgb="FF0B4D3B"/>
      </x:bottom>
    </x:border>
    <x:border>
      <x:bottom style="thin">
        <x:color rgb="FFD6E4DD"/>
      </x:bottom>
    </x:border>
    <x:border>
      <x:top style="thin">
        <x:color rgb="FFD6E4DD"/>
      </x:top>
      <x:bottom style="thin">
        <x:color rgb="FFD6E4DD"/>
      </x:bottom>
    </x:border>
    <x:border>
      <x:top style="thin">
        <x:color rgb="FFD6E4DD"/>
      </x:top>
    </x:border>
    <x:border>
      <x:top style="medium">
        <x:color rgb="FF176B49"/>
      </x:top>
      <x:bottom style="medium">
        <x:color rgb="FF176B49"/>
      </x:bottom>
    </x:border>
    <x:border>
      <x:left style="thin">
        <x:color rgb="FF0B4D3B"/>
      </x:left>
      <x:top style="thin">
        <x:color rgb="FF0B4D3B"/>
      </x:top>
      <x:bottom style="thin">
        <x:color rgb="FF0B4D3B"/>
      </x:bottom>
    </x:border>
    <x:border>
      <x:top style="thin">
        <x:color rgb="FF0B4D3B"/>
      </x:top>
      <x:bottom style="thin">
        <x:color rgb="FF0B4D3B"/>
      </x:bottom>
    </x:border>
    <x:border>
      <x:right style="thin">
        <x:color rgb="FF0B4D3B"/>
      </x:right>
      <x:top style="thin">
        <x:color rgb="FF0B4D3B"/>
      </x:top>
      <x:bottom style="thin">
        <x:color rgb="FF0B4D3B"/>
      </x:bottom>
    </x:border>
  </x:borders>
  <x:cellStyleXfs count="1">
    <x:xf numFmtId="0" fontId="0" fillId="0" borderId="0"/>
  </x:cellStyleXfs>
  <x:cellXfs count="5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6" fillId="6" borderId="11" xfId="0" applyNumberFormat="1" applyFont="1" applyFill="1" applyBorder="1" applyAlignment="1">
      <x:alignment vertical="center"/>
    </x:xf>
    <x:xf numFmtId="0" fontId="6" fillId="6" borderId="12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6" fillId="7" borderId="12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horizontal="left" vertical="center"/>
    </x:xf>
    <x:xf numFmtId="0" fontId="6" fillId="7" borderId="11" xfId="0" applyNumberFormat="1" applyFont="1" applyFill="1" applyBorder="1" applyAlignment="1">
      <x:alignment horizontal="left" vertical="center"/>
    </x:xf>
    <x:xf numFmtId="0" fontId="6" fillId="6" borderId="11" xfId="0" applyNumberFormat="1" applyFont="1" applyFill="1" applyBorder="1" applyAlignment="1">
      <x:alignment horizontal="left" vertical="center"/>
    </x:xf>
    <x:xf numFmtId="0" fontId="6" fillId="7" borderId="12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6" fillId="6" borderId="10" xfId="0" applyNumberFormat="1" applyFont="1" applyFill="1" applyBorder="1" applyAlignment="1">
      <x:alignment horizontal="right" vertical="center"/>
    </x:xf>
    <x:xf numFmtId="0" fontId="6" fillId="7" borderId="11" xfId="0" applyNumberFormat="1" applyFont="1" applyFill="1" applyBorder="1" applyAlignment="1">
      <x:alignment horizontal="right" vertical="center"/>
    </x:xf>
    <x:xf numFmtId="0" fontId="6" fillId="6" borderId="11" xfId="0" applyNumberFormat="1" applyFont="1" applyFill="1" applyBorder="1" applyAlignment="1">
      <x:alignment horizontal="right" vertical="center"/>
    </x:xf>
    <x:xf numFmtId="0" fontId="6" fillId="7" borderId="12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0" fontId="6" fillId="6" borderId="10" xfId="0" applyNumberFormat="1" applyFont="1" applyFill="1" applyBorder="1" applyAlignment="1">
      <x:alignment horizontal="right" vertical="center"/>
    </x:xf>
    <x:xf numFmtId="200" fontId="6" fillId="7" borderId="11" xfId="0" applyNumberFormat="1" applyFont="1" applyFill="1" applyBorder="1" applyAlignment="1">
      <x:alignment horizontal="right" vertical="center"/>
    </x:xf>
    <x:xf numFmtId="200" fontId="6" fillId="6" borderId="11" xfId="0" applyNumberFormat="1" applyFont="1" applyFill="1" applyBorder="1" applyAlignment="1">
      <x:alignment horizontal="right" vertical="center"/>
    </x:xf>
    <x:xf numFmtId="200" fontId="6" fillId="7" borderId="12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 applyAlignment="1">
      <x:alignment horizontal="left"/>
    </x:xf>
    <x:xf numFmtId="200" fontId="0" fillId="4" borderId="0" xfId="0" applyNumberFormat="1" applyFont="1" applyFill="1" applyBorder="1" applyAlignment="1">
      <x:alignment horizontal="right"/>
    </x:xf>
    <x:xf numFmtId="0" fontId="7" fillId="4" borderId="0" xfId="0" applyNumberFormat="1" applyFont="1" applyFill="1" applyBorder="1" applyAlignment="1">
      <x:alignment horizontal="left"/>
    </x:xf>
    <x:xf numFmtId="200" fontId="7" fillId="4" borderId="0" xfId="0" applyNumberFormat="1" applyFont="1" applyFill="1" applyBorder="1" applyAlignment="1">
      <x:alignment horizontal="right"/>
    </x:xf>
    <x:xf numFmtId="0" fontId="7" fillId="4" borderId="13" xfId="0" applyNumberFormat="1" applyFont="1" applyFill="1" applyBorder="1" applyAlignment="1">
      <x:alignment horizontal="left"/>
    </x:xf>
    <x:xf numFmtId="200" fontId="7" fillId="4" borderId="13" xfId="0" applyNumberFormat="1" applyFont="1" applyFill="1" applyBorder="1" applyAlignment="1">
      <x:alignment horizontal="right"/>
    </x:xf>
    <x:xf numFmtId="0" fontId="7" fillId="4" borderId="13" xfId="0" applyNumberFormat="1" applyFont="1" applyFill="1" applyBorder="1" applyAlignment="1">
      <x:alignment horizontal="left" vertical="center"/>
    </x:xf>
    <x:xf numFmtId="200" fontId="7" fillId="4" borderId="13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2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3" xfId="0" applyNumberFormat="1" applyFont="1" applyFill="1" applyBorder="1"/>
    <x:xf numFmtId="0" fontId="10" fillId="11" borderId="4" xfId="0" applyNumberFormat="1" applyFont="1" applyFill="1" applyBorder="1"/>
    <x:xf numFmtId="0" fontId="10" fillId="11" borderId="5" xfId="0" applyNumberFormat="1" applyFont="1" applyFill="1" applyBorder="1"/>
    <x:xf numFmtId="0" fontId="10" fillId="11" borderId="6" xfId="0" applyNumberFormat="1" applyFont="1" applyFill="1" applyBorder="1"/>
    <x:xf numFmtId="200" fontId="10" fillId="11" borderId="3" xfId="0" applyNumberFormat="1" applyFont="1" applyFill="1" applyBorder="1"/>
    <x:xf numFmtId="200" fontId="10" fillId="11" borderId="4" xfId="0" applyNumberFormat="1" applyFont="1" applyFill="1" applyBorder="1"/>
    <x:xf numFmtId="200" fontId="10" fillId="11" borderId="5" xfId="0" applyNumberFormat="1" applyFont="1" applyFill="1" applyBorder="1"/>
    <x:xf numFmtId="200" fontId="10" fillId="11" borderId="6" xfId="0" applyNumberFormat="1" applyFont="1" applyFill="1" applyBorder="1"/>
    <x:xf numFmtId="200" fontId="10" fillId="11" borderId="3" xfId="0" applyNumberFormat="1" applyFont="1" applyFill="1" applyBorder="1" applyAlignment="1">
      <x:alignment horizontal="center"/>
    </x:xf>
    <x:xf numFmtId="200" fontId="10" fillId="11" borderId="4" xfId="0" applyNumberFormat="1" applyFont="1" applyFill="1" applyBorder="1" applyAlignment="1">
      <x:alignment horizontal="center"/>
    </x:xf>
    <x:xf numFmtId="200" fontId="10" fillId="11" borderId="5" xfId="0" applyNumberFormat="1" applyFont="1" applyFill="1" applyBorder="1" applyAlignment="1">
      <x:alignment horizontal="center"/>
    </x:xf>
    <x:xf numFmtId="200" fontId="10" fillId="11" borderId="6" xfId="0" applyNumberFormat="1" applyFont="1" applyFill="1" applyBorder="1" applyAlignment="1">
      <x:alignment horizontal="center"/>
    </x:xf>
    <x:xf numFmtId="200" fontId="10" fillId="11" borderId="3" xfId="0" applyNumberFormat="1" applyFont="1" applyFill="1" applyBorder="1" applyAlignment="1">
      <x:alignment horizontal="center" vertical="center"/>
    </x:xf>
    <x:xf numFmtId="200" fontId="10" fillId="11" borderId="4" xfId="0" applyNumberFormat="1" applyFont="1" applyFill="1" applyBorder="1" applyAlignment="1">
      <x:alignment horizontal="center" vertical="center"/>
    </x:xf>
    <x:xf numFmtId="200" fontId="10" fillId="11" borderId="5" xfId="0" applyNumberFormat="1" applyFont="1" applyFill="1" applyBorder="1" applyAlignment="1">
      <x:alignment horizontal="center" vertical="center"/>
    </x:xf>
    <x:xf numFmtId="200" fontId="10" fillId="11" borderId="6" xfId="0" applyNumberFormat="1" applyFont="1" applyFill="1" applyBorder="1" applyAlignment="1">
      <x:alignment horizontal="center" vertical="center"/>
    </x:xf>
    <x:xf numFmtId="0" fontId="9" fillId="10" borderId="14" xfId="0" applyNumberFormat="1" applyFont="1" applyFill="1" applyBorder="1"/>
    <x:xf numFmtId="0" fontId="9" fillId="10" borderId="14" xfId="0" applyNumberFormat="1" applyFont="1" applyFill="1" applyBorder="1" applyAlignment="1">
      <x:alignment wrapText="1"/>
    </x:xf>
    <x:xf numFmtId="0" fontId="9" fillId="10" borderId="14" xfId="0" applyNumberFormat="1" applyFont="1" applyFill="1" applyBorder="1" applyAlignment="1">
      <x:alignment horizontal="center" wrapText="1"/>
    </x:xf>
    <x:xf numFmtId="0" fontId="9" fillId="10" borderId="14" xfId="0" applyNumberFormat="1" applyFont="1" applyFill="1" applyBorder="1" applyAlignment="1">
      <x:alignment horizontal="center" vertical="center" wrapText="1"/>
    </x:xf>
    <x:xf numFmtId="0" fontId="10" fillId="11" borderId="15" xfId="0" applyNumberFormat="1" applyFont="1" applyFill="1" applyBorder="1"/>
    <x:xf numFmtId="0" fontId="10" fillId="11" borderId="16" xfId="0" applyNumberFormat="1" applyFont="1" applyFill="1" applyBorder="1"/>
    <x:xf numFmtId="200" fontId="10" fillId="11" borderId="15" xfId="0" applyNumberFormat="1" applyFont="1" applyFill="1" applyBorder="1"/>
    <x:xf numFmtId="200" fontId="10" fillId="11" borderId="16" xfId="0" applyNumberFormat="1" applyFont="1" applyFill="1" applyBorder="1"/>
    <x:xf numFmtId="200" fontId="10" fillId="11" borderId="15" xfId="0" applyNumberFormat="1" applyFont="1" applyFill="1" applyBorder="1" applyAlignment="1">
      <x:alignment horizontal="center"/>
    </x:xf>
    <x:xf numFmtId="200" fontId="10" fillId="11" borderId="16" xfId="0" applyNumberFormat="1" applyFont="1" applyFill="1" applyBorder="1" applyAlignment="1">
      <x:alignment horizontal="center"/>
    </x:xf>
    <x:xf numFmtId="200" fontId="10" fillId="11" borderId="15" xfId="0" applyNumberFormat="1" applyFont="1" applyFill="1" applyBorder="1" applyAlignment="1">
      <x:alignment horizontal="center" vertical="center"/>
    </x:xf>
    <x:xf numFmtId="200" fontId="10" fillId="11" borderId="16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/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7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horizontal="center" wrapText="1"/>
    </x:xf>
    <x:xf numFmtId="0" fontId="11" fillId="9" borderId="8" xfId="0" applyNumberFormat="1" applyFont="1" applyFill="1" applyBorder="1" applyAlignment="1">
      <x:alignment horizontal="center" wrapText="1"/>
    </x:xf>
    <x:xf numFmtId="0" fontId="11" fillId="9" borderId="9" xfId="0" applyNumberFormat="1" applyFont="1" applyFill="1" applyBorder="1" applyAlignment="1">
      <x:alignment horizontal="center" wrapText="1"/>
    </x:xf>
    <x:xf numFmtId="0" fontId="11" fillId="9" borderId="7" xfId="0" applyNumberFormat="1" applyFont="1" applyFill="1" applyBorder="1" applyAlignment="1">
      <x:alignment horizontal="center" vertical="center" wrapText="1"/>
    </x:xf>
    <x:xf numFmtId="0" fontId="11" fillId="9" borderId="8" xfId="0" applyNumberFormat="1" applyFont="1" applyFill="1" applyBorder="1" applyAlignment="1">
      <x:alignment horizontal="center" vertical="center" wrapText="1"/>
    </x:xf>
    <x:xf numFmtId="0" fontId="11" fillId="9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7" xfId="0" applyNumberFormat="1" applyFont="1" applyFill="1" applyBorder="1"/>
    <x:xf numFmtId="0" fontId="12" fillId="0" borderId="10" xfId="0" applyNumberFormat="1" applyFont="1" applyFill="1" applyBorder="1" applyAlignment="1">
      <x:alignment vertical="center"/>
    </x:xf>
    <x:xf numFmtId="0" fontId="12" fillId="0" borderId="11" xfId="0" applyNumberFormat="1" applyFont="1" applyFill="1" applyBorder="1" applyAlignment="1">
      <x:alignment vertical="center"/>
    </x:xf>
    <x:xf numFmtId="0" fontId="12" fillId="0" borderId="17" xfId="0" applyNumberFormat="1" applyFont="1" applyFill="1" applyBorder="1" applyAlignment="1">
      <x:alignment vertical="center"/>
    </x:xf>
    <x:xf numFmtId="0" fontId="12" fillId="12" borderId="11" xfId="0" applyNumberFormat="1" applyFont="1" applyFill="1" applyBorder="1" applyAlignment="1">
      <x:alignment vertical="center"/>
    </x:xf>
    <x:xf numFmtId="0" fontId="12" fillId="0" borderId="10" xfId="0" applyNumberFormat="1" applyFont="1" applyFill="1" applyBorder="1" applyAlignment="1">
      <x:alignment horizontal="left" vertical="center"/>
    </x:xf>
    <x:xf numFmtId="0" fontId="12" fillId="12" borderId="11" xfId="0" applyNumberFormat="1" applyFont="1" applyFill="1" applyBorder="1" applyAlignment="1">
      <x:alignment horizontal="left" vertical="center"/>
    </x:xf>
    <x:xf numFmtId="0" fontId="12" fillId="0" borderId="17" xfId="0" applyNumberFormat="1" applyFont="1" applyFill="1" applyBorder="1" applyAlignment="1">
      <x:alignment horizontal="left" vertical="center"/>
    </x:xf>
    <x:xf numFmtId="0" fontId="12" fillId="0" borderId="10" xfId="0" applyNumberFormat="1" applyFont="1" applyFill="1" applyBorder="1" applyAlignment="1">
      <x:alignment horizontal="right" vertical="center"/>
    </x:xf>
    <x:xf numFmtId="0" fontId="12" fillId="12" borderId="11" xfId="0" applyNumberFormat="1" applyFont="1" applyFill="1" applyBorder="1" applyAlignment="1">
      <x:alignment horizontal="right" vertical="center"/>
    </x:xf>
    <x:xf numFmtId="0" fontId="12" fillId="0" borderId="17" xfId="0" applyNumberFormat="1" applyFont="1" applyFill="1" applyBorder="1" applyAlignment="1">
      <x:alignment horizontal="right" vertical="center"/>
    </x:xf>
    <x:xf numFmtId="200" fontId="12" fillId="0" borderId="10" xfId="0" applyNumberFormat="1" applyFont="1" applyFill="1" applyBorder="1" applyAlignment="1">
      <x:alignment horizontal="right" vertical="center"/>
    </x:xf>
    <x:xf numFmtId="200" fontId="12" fillId="12" borderId="11" xfId="0" applyNumberFormat="1" applyFont="1" applyFill="1" applyBorder="1" applyAlignment="1">
      <x:alignment horizontal="right" vertical="center"/>
    </x:xf>
    <x:xf numFmtId="200" fontId="12" fillId="0" borderId="17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 applyAlignment="1">
      <x:alignment horizontal="left"/>
    </x:xf>
    <x:xf numFmtId="200" fontId="0" fillId="10" borderId="0" xfId="0" applyNumberFormat="1" applyFont="1" applyFill="1" applyBorder="1" applyAlignment="1">
      <x:alignment horizontal="right"/>
    </x:xf>
    <x:xf numFmtId="0" fontId="13" fillId="10" borderId="0" xfId="0" applyNumberFormat="1" applyFont="1" applyFill="1" applyBorder="1" applyAlignment="1">
      <x:alignment horizontal="left"/>
    </x:xf>
    <x:xf numFmtId="200" fontId="13" fillId="10" borderId="0" xfId="0" applyNumberFormat="1" applyFont="1" applyFill="1" applyBorder="1" applyAlignment="1">
      <x:alignment horizontal="right"/>
    </x:xf>
    <x:xf numFmtId="0" fontId="13" fillId="10" borderId="13" xfId="0" applyNumberFormat="1" applyFont="1" applyFill="1" applyBorder="1" applyAlignment="1">
      <x:alignment horizontal="left"/>
    </x:xf>
    <x:xf numFmtId="200" fontId="13" fillId="10" borderId="13" xfId="0" applyNumberFormat="1" applyFont="1" applyFill="1" applyBorder="1" applyAlignment="1">
      <x:alignment horizontal="right"/>
    </x:xf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left"/>
    </x:xf>
    <x:xf numFmtId="0" fontId="14" fillId="8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/>
    <x:xf numFmtId="0" fontId="15" fillId="0" borderId="10" xfId="0" applyNumberFormat="1" applyFont="1" applyFill="1" applyBorder="1"/>
    <x:xf numFmtId="0" fontId="15" fillId="0" borderId="11" xfId="0" applyNumberFormat="1" applyFont="1" applyFill="1" applyBorder="1"/>
    <x:xf numFmtId="0" fontId="15" fillId="0" borderId="17" xfId="0" applyNumberFormat="1" applyFont="1" applyFill="1" applyBorder="1"/>
    <x:xf numFmtId="0" fontId="15" fillId="0" borderId="10" xfId="0" applyNumberFormat="1" applyFont="1" applyFill="1" applyBorder="1" applyAlignment="1">
      <x:alignment vertical="center"/>
    </x:xf>
    <x:xf numFmtId="0" fontId="15" fillId="0" borderId="11" xfId="0" applyNumberFormat="1" applyFont="1" applyFill="1" applyBorder="1" applyAlignment="1">
      <x:alignment vertical="center"/>
    </x:xf>
    <x:xf numFmtId="0" fontId="15" fillId="0" borderId="17" xfId="0" applyNumberFormat="1" applyFont="1" applyFill="1" applyBorder="1" applyAlignment="1">
      <x:alignment vertical="center"/>
    </x:xf>
    <x:xf numFmtId="0" fontId="15" fillId="12" borderId="11" xfId="0" applyNumberFormat="1" applyFont="1" applyFill="1" applyBorder="1" applyAlignment="1">
      <x:alignment vertical="center"/>
    </x:xf>
    <x:xf numFmtId="0" fontId="15" fillId="12" borderId="17" xfId="0" applyNumberFormat="1" applyFont="1" applyFill="1" applyBorder="1" applyAlignment="1">
      <x:alignment vertical="center"/>
    </x:xf>
    <x:xf numFmtId="0" fontId="15" fillId="13" borderId="11" xfId="0" applyNumberFormat="1" applyFont="1" applyFill="1" applyBorder="1" applyAlignment="1">
      <x:alignment vertical="center"/>
    </x:xf>
    <x:xf numFmtId="0" fontId="15" fillId="14" borderId="11" xfId="0" applyNumberFormat="1" applyFont="1" applyFill="1" applyBorder="1" applyAlignment="1">
      <x:alignment vertical="center"/>
    </x:xf>
    <x:xf numFmtId="0" fontId="15" fillId="14" borderId="17" xfId="0" applyNumberFormat="1" applyFont="1" applyFill="1" applyBorder="1" applyAlignment="1">
      <x:alignment vertical="center"/>
    </x:xf>
    <x:xf numFmtId="0" fontId="15" fillId="0" borderId="10" xfId="0" applyNumberFormat="1" applyFont="1" applyFill="1" applyBorder="1" applyAlignment="1">
      <x:alignment horizontal="center" vertical="center"/>
    </x:xf>
    <x:xf numFmtId="0" fontId="15" fillId="12" borderId="11" xfId="0" applyNumberFormat="1" applyFont="1" applyFill="1" applyBorder="1" applyAlignment="1">
      <x:alignment horizontal="center" vertical="center"/>
    </x:xf>
    <x:xf numFmtId="0" fontId="15" fillId="0" borderId="11" xfId="0" applyNumberFormat="1" applyFont="1" applyFill="1" applyBorder="1" applyAlignment="1">
      <x:alignment horizontal="center" vertical="center"/>
    </x:xf>
    <x:xf numFmtId="0" fontId="15" fillId="13" borderId="11" xfId="0" applyNumberFormat="1" applyFont="1" applyFill="1" applyBorder="1" applyAlignment="1">
      <x:alignment horizontal="center" vertical="center"/>
    </x:xf>
    <x:xf numFmtId="0" fontId="15" fillId="14" borderId="11" xfId="0" applyNumberFormat="1" applyFont="1" applyFill="1" applyBorder="1" applyAlignment="1">
      <x:alignment horizontal="center" vertical="center"/>
    </x:xf>
    <x:xf numFmtId="0" fontId="15" fillId="14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15" fillId="0" borderId="10" xfId="0" applyNumberFormat="1" applyFont="1" applyFill="1" applyBorder="1" applyAlignment="1">
      <x:alignment horizontal="left" vertical="center"/>
    </x:xf>
    <x:xf numFmtId="0" fontId="15" fillId="12" borderId="11" xfId="0" applyNumberFormat="1" applyFont="1" applyFill="1" applyBorder="1" applyAlignment="1">
      <x:alignment horizontal="left" vertical="center"/>
    </x:xf>
    <x:xf numFmtId="0" fontId="15" fillId="0" borderId="11" xfId="0" applyNumberFormat="1" applyFont="1" applyFill="1" applyBorder="1" applyAlignment="1">
      <x:alignment horizontal="left" vertical="center"/>
    </x:xf>
    <x:xf numFmtId="0" fontId="15" fillId="13" borderId="11" xfId="0" applyNumberFormat="1" applyFont="1" applyFill="1" applyBorder="1" applyAlignment="1">
      <x:alignment horizontal="left" vertical="center"/>
    </x:xf>
    <x:xf numFmtId="0" fontId="15" fillId="14" borderId="11" xfId="0" applyNumberFormat="1" applyFont="1" applyFill="1" applyBorder="1" applyAlignment="1">
      <x:alignment horizontal="left" vertical="center"/>
    </x:xf>
    <x:xf numFmtId="0" fontId="15" fillId="14" borderId="17" xfId="0" applyNumberFormat="1" applyFont="1" applyFill="1" applyBorder="1" applyAlignment="1">
      <x:alignment horizontal="left" vertical="center"/>
    </x:xf>
    <x:xf numFmtId="0" fontId="15" fillId="0" borderId="10" xfId="0" applyNumberFormat="1" applyFont="1" applyFill="1" applyBorder="1" applyAlignment="1">
      <x:alignment horizontal="right" vertical="center"/>
    </x:xf>
    <x:xf numFmtId="0" fontId="15" fillId="12" borderId="11" xfId="0" applyNumberFormat="1" applyFont="1" applyFill="1" applyBorder="1" applyAlignment="1">
      <x:alignment horizontal="right" vertical="center"/>
    </x:xf>
    <x:xf numFmtId="0" fontId="15" fillId="0" borderId="11" xfId="0" applyNumberFormat="1" applyFont="1" applyFill="1" applyBorder="1" applyAlignment="1">
      <x:alignment horizontal="right" vertical="center"/>
    </x:xf>
    <x:xf numFmtId="0" fontId="15" fillId="13" borderId="11" xfId="0" applyNumberFormat="1" applyFont="1" applyFill="1" applyBorder="1" applyAlignment="1">
      <x:alignment horizontal="right" vertical="center"/>
    </x:xf>
    <x:xf numFmtId="0" fontId="15" fillId="14" borderId="11" xfId="0" applyNumberFormat="1" applyFont="1" applyFill="1" applyBorder="1" applyAlignment="1">
      <x:alignment horizontal="right" vertical="center"/>
    </x:xf>
    <x:xf numFmtId="0" fontId="15" fillId="14" borderId="17" xfId="0" applyNumberFormat="1" applyFont="1" applyFill="1" applyBorder="1" applyAlignment="1">
      <x:alignment horizontal="right" vertical="center"/>
    </x:xf>
    <x:xf numFmtId="200" fontId="15" fillId="0" borderId="10" xfId="0" applyNumberFormat="1" applyFont="1" applyFill="1" applyBorder="1" applyAlignment="1">
      <x:alignment horizontal="right" vertical="center"/>
    </x:xf>
    <x:xf numFmtId="200" fontId="15" fillId="12" borderId="11" xfId="0" applyNumberFormat="1" applyFont="1" applyFill="1" applyBorder="1" applyAlignment="1">
      <x:alignment horizontal="right" vertical="center"/>
    </x:xf>
    <x:xf numFmtId="200" fontId="15" fillId="0" borderId="11" xfId="0" applyNumberFormat="1" applyFont="1" applyFill="1" applyBorder="1" applyAlignment="1">
      <x:alignment horizontal="right" vertical="center"/>
    </x:xf>
    <x:xf numFmtId="200" fontId="15" fillId="13" borderId="11" xfId="0" applyNumberFormat="1" applyFont="1" applyFill="1" applyBorder="1" applyAlignment="1">
      <x:alignment horizontal="right" vertical="center"/>
    </x:xf>
    <x:xf numFmtId="200" fontId="15" fillId="14" borderId="11" xfId="0" applyNumberFormat="1" applyFont="1" applyFill="1" applyBorder="1" applyAlignment="1">
      <x:alignment horizontal="right" vertical="center"/>
    </x:xf>
    <x:xf numFmtId="200" fontId="15" fillId="14" borderId="17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 applyAlignment="1">
      <x:alignment horizontal="center"/>
    </x:xf>
    <x:xf numFmtId="0" fontId="16" fillId="10" borderId="0" xfId="0" applyNumberFormat="1" applyFont="1" applyFill="1" applyBorder="1" applyAlignment="1">
      <x:alignment horizontal="center"/>
    </x:xf>
    <x:xf numFmtId="0" fontId="16" fillId="10" borderId="0" xfId="0" applyNumberFormat="1" applyFont="1" applyFill="1" applyBorder="1" applyAlignment="1">
      <x:alignment horizontal="left"/>
    </x:xf>
    <x:xf numFmtId="200" fontId="16" fillId="10" borderId="0" xfId="0" applyNumberFormat="1" applyFont="1" applyFill="1" applyBorder="1" applyAlignment="1">
      <x:alignment horizontal="right"/>
    </x:xf>
    <x:xf numFmtId="0" fontId="16" fillId="10" borderId="13" xfId="0" applyNumberFormat="1" applyFont="1" applyFill="1" applyBorder="1" applyAlignment="1">
      <x:alignment horizontal="center"/>
    </x:xf>
    <x:xf numFmtId="0" fontId="16" fillId="10" borderId="13" xfId="0" applyNumberFormat="1" applyFont="1" applyFill="1" applyBorder="1" applyAlignment="1">
      <x:alignment horizontal="left"/>
    </x:xf>
    <x:xf numFmtId="200" fontId="16" fillId="10" borderId="13" xfId="0" applyNumberFormat="1" applyFont="1" applyFill="1" applyBorder="1" applyAlignment="1">
      <x:alignment horizontal="right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horizontal="left"/>
    </x:xf>
    <x:xf numFmtId="0" fontId="17" fillId="0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/>
    </x:xf>
    <x:xf numFmtId="0" fontId="2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1" xfId="0" applyNumberFormat="1" applyFont="1" applyFill="1" applyBorder="1"/>
    <x:xf numFmtId="0" fontId="9" fillId="17" borderId="2" xfId="0" applyNumberFormat="1" applyFont="1" applyFill="1" applyBorder="1"/>
    <x:xf numFmtId="0" fontId="9" fillId="17" borderId="1" xfId="0" applyNumberFormat="1" applyFont="1" applyFill="1" applyBorder="1" applyAlignment="1">
      <x:alignment wrapText="1"/>
    </x:xf>
    <x:xf numFmtId="0" fontId="9" fillId="17" borderId="2" xfId="0" applyNumberFormat="1" applyFont="1" applyFill="1" applyBorder="1" applyAlignment="1">
      <x:alignment wrapText="1"/>
    </x:xf>
    <x:xf numFmtId="0" fontId="9" fillId="17" borderId="1" xfId="0" applyNumberFormat="1" applyFont="1" applyFill="1" applyBorder="1" applyAlignment="1">
      <x:alignment horizontal="center" wrapText="1"/>
    </x:xf>
    <x:xf numFmtId="0" fontId="9" fillId="17" borderId="2" xfId="0" applyNumberFormat="1" applyFont="1" applyFill="1" applyBorder="1" applyAlignment="1">
      <x:alignment horizontal="center" wrapText="1"/>
    </x:xf>
    <x:xf numFmtId="0" fontId="9" fillId="17" borderId="1" xfId="0" applyNumberFormat="1" applyFont="1" applyFill="1" applyBorder="1" applyAlignment="1">
      <x:alignment horizontal="center" vertical="center" wrapText="1"/>
    </x:xf>
    <x:xf numFmtId="0" fontId="9" fillId="17" borderId="2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3" xfId="0" applyNumberFormat="1" applyFont="1" applyFill="1" applyBorder="1"/>
    <x:xf numFmtId="0" fontId="10" fillId="18" borderId="4" xfId="0" applyNumberFormat="1" applyFont="1" applyFill="1" applyBorder="1"/>
    <x:xf numFmtId="0" fontId="10" fillId="18" borderId="5" xfId="0" applyNumberFormat="1" applyFont="1" applyFill="1" applyBorder="1"/>
    <x:xf numFmtId="0" fontId="10" fillId="18" borderId="6" xfId="0" applyNumberFormat="1" applyFont="1" applyFill="1" applyBorder="1"/>
    <x:xf numFmtId="201" fontId="10" fillId="18" borderId="3" xfId="0" applyNumberFormat="1" applyFont="1" applyFill="1" applyBorder="1"/>
    <x:xf numFmtId="201" fontId="10" fillId="18" borderId="4" xfId="0" applyNumberFormat="1" applyFont="1" applyFill="1" applyBorder="1"/>
    <x:xf numFmtId="201" fontId="10" fillId="18" borderId="5" xfId="0" applyNumberFormat="1" applyFont="1" applyFill="1" applyBorder="1"/>
    <x:xf numFmtId="201" fontId="10" fillId="18" borderId="6" xfId="0" applyNumberFormat="1" applyFont="1" applyFill="1" applyBorder="1"/>
    <x:xf numFmtId="201" fontId="10" fillId="18" borderId="3" xfId="0" applyNumberFormat="1" applyFont="1" applyFill="1" applyBorder="1" applyAlignment="1">
      <x:alignment horizontal="center"/>
    </x:xf>
    <x:xf numFmtId="201" fontId="10" fillId="18" borderId="4" xfId="0" applyNumberFormat="1" applyFont="1" applyFill="1" applyBorder="1" applyAlignment="1">
      <x:alignment horizontal="center"/>
    </x:xf>
    <x:xf numFmtId="201" fontId="10" fillId="18" borderId="5" xfId="0" applyNumberFormat="1" applyFont="1" applyFill="1" applyBorder="1" applyAlignment="1">
      <x:alignment horizontal="center"/>
    </x:xf>
    <x:xf numFmtId="201" fontId="10" fillId="18" borderId="6" xfId="0" applyNumberFormat="1" applyFont="1" applyFill="1" applyBorder="1" applyAlignment="1">
      <x:alignment horizontal="center"/>
    </x:xf>
    <x:xf numFmtId="201" fontId="10" fillId="18" borderId="3" xfId="0" applyNumberFormat="1" applyFont="1" applyFill="1" applyBorder="1" applyAlignment="1">
      <x:alignment horizontal="center" vertical="center"/>
    </x:xf>
    <x:xf numFmtId="201" fontId="10" fillId="18" borderId="4" xfId="0" applyNumberFormat="1" applyFont="1" applyFill="1" applyBorder="1" applyAlignment="1">
      <x:alignment horizontal="center" vertical="center"/>
    </x:xf>
    <x:xf numFmtId="201" fontId="10" fillId="18" borderId="5" xfId="0" applyNumberFormat="1" applyFont="1" applyFill="1" applyBorder="1" applyAlignment="1">
      <x:alignment horizontal="center" vertical="center"/>
    </x:xf>
    <x:xf numFmtId="201" fontId="10" fillId="18" borderId="6" xfId="0" applyNumberFormat="1" applyFont="1" applyFill="1" applyBorder="1" applyAlignment="1">
      <x:alignment horizontal="center" vertical="center"/>
    </x:xf>
    <x:xf numFmtId="200" fontId="10" fillId="18" borderId="3" xfId="0" applyNumberFormat="1" applyFont="1" applyFill="1" applyBorder="1" applyAlignment="1">
      <x:alignment horizontal="center" vertical="center"/>
    </x:xf>
    <x:xf numFmtId="200" fontId="10" fillId="18" borderId="4" xfId="0" applyNumberFormat="1" applyFont="1" applyFill="1" applyBorder="1" applyAlignment="1">
      <x:alignment horizontal="center" vertical="center"/>
    </x:xf>
    <x:xf numFmtId="200" fontId="10" fillId="18" borderId="5" xfId="0" applyNumberFormat="1" applyFont="1" applyFill="1" applyBorder="1" applyAlignment="1">
      <x:alignment horizontal="center" vertical="center"/>
    </x:xf>
    <x:xf numFmtId="200" fontId="10" fillId="18" borderId="6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1" xfId="0" applyNumberFormat="1" applyFont="1" applyFill="1" applyBorder="1"/>
    <x:xf numFmtId="0" fontId="3" fillId="19" borderId="14" xfId="0" applyNumberFormat="1" applyFont="1" applyFill="1" applyBorder="1"/>
    <x:xf numFmtId="0" fontId="3" fillId="19" borderId="2" xfId="0" applyNumberFormat="1" applyFont="1" applyFill="1" applyBorder="1"/>
    <x:xf numFmtId="0" fontId="3" fillId="19" borderId="1" xfId="0" applyNumberFormat="1" applyFont="1" applyFill="1" applyBorder="1" applyAlignment="1">
      <x:alignment horizontal="center"/>
    </x:xf>
    <x:xf numFmtId="0" fontId="3" fillId="19" borderId="14" xfId="0" applyNumberFormat="1" applyFont="1" applyFill="1" applyBorder="1" applyAlignment="1">
      <x:alignment horizontal="center"/>
    </x:xf>
    <x:xf numFmtId="0" fontId="3" fillId="19" borderId="2" xfId="0" applyNumberFormat="1" applyFont="1" applyFill="1" applyBorder="1" applyAlignment="1">
      <x:alignment horizontal="center"/>
    </x:xf>
    <x:xf numFmtId="0" fontId="3" fillId="19" borderId="1" xfId="0" applyNumberFormat="1" applyFont="1" applyFill="1" applyBorder="1" applyAlignment="1">
      <x:alignment horizontal="center" vertical="center"/>
    </x:xf>
    <x:xf numFmtId="0" fontId="3" fillId="19" borderId="14" xfId="0" applyNumberFormat="1" applyFont="1" applyFill="1" applyBorder="1" applyAlignment="1">
      <x:alignment horizontal="center" vertical="center"/>
    </x:xf>
    <x:xf numFmtId="0" fontId="3" fillId="19" borderId="2" xfId="0" applyNumberFormat="1" applyFont="1" applyFill="1" applyBorder="1" applyAlignment="1">
      <x:alignment horizontal="center" vertical="center"/>
    </x:xf>
    <x:xf numFmtId="0" fontId="5" fillId="16" borderId="0" xfId="0" applyNumberFormat="1" applyFont="1" applyFill="1" applyBorder="1"/>
    <x:xf numFmtId="0" fontId="5" fillId="16" borderId="7" xfId="0" applyNumberFormat="1" applyFont="1" applyFill="1" applyBorder="1"/>
    <x:xf numFmtId="0" fontId="5" fillId="16" borderId="8" xfId="0" applyNumberFormat="1" applyFont="1" applyFill="1" applyBorder="1"/>
    <x:xf numFmtId="0" fontId="5" fillId="16" borderId="9" xfId="0" applyNumberFormat="1" applyFont="1" applyFill="1" applyBorder="1"/>
    <x:xf numFmtId="0" fontId="5" fillId="16" borderId="7" xfId="0" applyNumberFormat="1" applyFont="1" applyFill="1" applyBorder="1" applyAlignment="1">
      <x:alignment wrapText="1"/>
    </x:xf>
    <x:xf numFmtId="0" fontId="5" fillId="16" borderId="8" xfId="0" applyNumberFormat="1" applyFont="1" applyFill="1" applyBorder="1" applyAlignment="1">
      <x:alignment wrapText="1"/>
    </x:xf>
    <x:xf numFmtId="0" fontId="5" fillId="16" borderId="9" xfId="0" applyNumberFormat="1" applyFont="1" applyFill="1" applyBorder="1" applyAlignment="1">
      <x:alignment wrapText="1"/>
    </x:xf>
    <x:xf numFmtId="0" fontId="5" fillId="16" borderId="7" xfId="0" applyNumberFormat="1" applyFont="1" applyFill="1" applyBorder="1" applyAlignment="1">
      <x:alignment horizontal="center" wrapText="1"/>
    </x:xf>
    <x:xf numFmtId="0" fontId="5" fillId="16" borderId="8" xfId="0" applyNumberFormat="1" applyFont="1" applyFill="1" applyBorder="1" applyAlignment="1">
      <x:alignment horizontal="center" wrapText="1"/>
    </x:xf>
    <x:xf numFmtId="0" fontId="5" fillId="16" borderId="9" xfId="0" applyNumberFormat="1" applyFont="1" applyFill="1" applyBorder="1" applyAlignment="1">
      <x:alignment horizontal="center" wrapText="1"/>
    </x:xf>
    <x:xf numFmtId="0" fontId="5" fillId="16" borderId="7" xfId="0" applyNumberFormat="1" applyFont="1" applyFill="1" applyBorder="1" applyAlignment="1">
      <x:alignment horizontal="center" vertical="center" wrapText="1"/>
    </x:xf>
    <x:xf numFmtId="0" fontId="5" fillId="16" borderId="8" xfId="0" applyNumberFormat="1" applyFont="1" applyFill="1" applyBorder="1" applyAlignment="1">
      <x:alignment horizontal="center" vertical="center" wrapText="1"/>
    </x:xf>
    <x:xf numFmtId="0" fontId="5" fillId="16" borderId="9" xfId="0" applyNumberFormat="1" applyFont="1" applyFill="1" applyBorder="1" applyAlignment="1">
      <x:alignment horizontal="center" vertical="center" wrapText="1"/>
    </x:xf>
    <x:xf numFmtId="0" fontId="12" fillId="20" borderId="11" xfId="0" applyNumberFormat="1" applyFont="1" applyFill="1" applyBorder="1" applyAlignment="1">
      <x:alignment vertical="center"/>
    </x:xf>
    <x:xf numFmtId="0" fontId="12" fillId="20" borderId="17" xfId="0" applyNumberFormat="1" applyFont="1" applyFill="1" applyBorder="1" applyAlignment="1">
      <x:alignment vertical="center"/>
    </x:xf>
    <x:xf numFmtId="0" fontId="12" fillId="20" borderId="11" xfId="0" applyNumberFormat="1" applyFont="1" applyFill="1" applyBorder="1" applyAlignment="1">
      <x:alignment horizontal="left" vertical="center"/>
    </x:xf>
    <x:xf numFmtId="0" fontId="12" fillId="0" borderId="11" xfId="0" applyNumberFormat="1" applyFont="1" applyFill="1" applyBorder="1" applyAlignment="1">
      <x:alignment horizontal="left" vertical="center"/>
    </x:xf>
    <x:xf numFmtId="0" fontId="12" fillId="20" borderId="17" xfId="0" applyNumberFormat="1" applyFont="1" applyFill="1" applyBorder="1" applyAlignment="1">
      <x:alignment horizontal="left" vertical="center"/>
    </x:xf>
    <x:xf numFmtId="0" fontId="12" fillId="0" borderId="10" xfId="0" applyNumberFormat="1" applyFont="1" applyFill="1" applyBorder="1" applyAlignment="1">
      <x:alignment horizontal="center" vertical="center"/>
    </x:xf>
    <x:xf numFmtId="0" fontId="12" fillId="20" borderId="11" xfId="0" applyNumberFormat="1" applyFont="1" applyFill="1" applyBorder="1" applyAlignment="1">
      <x:alignment horizontal="center" vertical="center"/>
    </x:xf>
    <x:xf numFmtId="0" fontId="12" fillId="0" borderId="11" xfId="0" applyNumberFormat="1" applyFont="1" applyFill="1" applyBorder="1" applyAlignment="1">
      <x:alignment horizontal="center" vertical="center"/>
    </x:xf>
    <x:xf numFmtId="0" fontId="12" fillId="20" borderId="17" xfId="0" applyNumberFormat="1" applyFont="1" applyFill="1" applyBorder="1" applyAlignment="1">
      <x:alignment horizontal="center" vertical="center"/>
    </x:xf>
    <x:xf numFmtId="0" fontId="12" fillId="20" borderId="11" xfId="0" applyNumberFormat="1" applyFont="1" applyFill="1" applyBorder="1" applyAlignment="1">
      <x:alignment horizontal="right" vertical="center"/>
    </x:xf>
    <x:xf numFmtId="0" fontId="12" fillId="0" borderId="11" xfId="0" applyNumberFormat="1" applyFont="1" applyFill="1" applyBorder="1" applyAlignment="1">
      <x:alignment horizontal="right" vertical="center"/>
    </x:xf>
    <x:xf numFmtId="0" fontId="12" fillId="20" borderId="17" xfId="0" applyNumberFormat="1" applyFont="1" applyFill="1" applyBorder="1" applyAlignment="1">
      <x:alignment horizontal="right" vertical="center"/>
    </x:xf>
    <x:xf numFmtId="200" fontId="12" fillId="20" borderId="11" xfId="0" applyNumberFormat="1" applyFont="1" applyFill="1" applyBorder="1" applyAlignment="1">
      <x:alignment horizontal="right" vertical="center"/>
    </x:xf>
    <x:xf numFmtId="200" fontId="12" fillId="0" borderId="11" xfId="0" applyNumberFormat="1" applyFont="1" applyFill="1" applyBorder="1" applyAlignment="1">
      <x:alignment horizontal="right" vertical="center"/>
    </x:xf>
    <x:xf numFmtId="200" fontId="12" fillId="20" borderId="17" xfId="0" applyNumberFormat="1" applyFont="1" applyFill="1" applyBorder="1" applyAlignment="1">
      <x:alignment horizontal="right" vertical="center"/>
    </x:xf>
    <x:xf numFmtId="201" fontId="12" fillId="0" borderId="10" xfId="0" applyNumberFormat="1" applyFont="1" applyFill="1" applyBorder="1" applyAlignment="1">
      <x:alignment horizontal="right" vertical="center"/>
    </x:xf>
    <x:xf numFmtId="201" fontId="12" fillId="20" borderId="11" xfId="0" applyNumberFormat="1" applyFont="1" applyFill="1" applyBorder="1" applyAlignment="1">
      <x:alignment horizontal="right" vertical="center"/>
    </x:xf>
    <x:xf numFmtId="201" fontId="12" fillId="0" borderId="11" xfId="0" applyNumberFormat="1" applyFont="1" applyFill="1" applyBorder="1" applyAlignment="1">
      <x:alignment horizontal="right" vertical="center"/>
    </x:xf>
    <x:xf numFmtId="201" fontId="12" fillId="20" borderId="17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/>
    </x:xf>
    <x:xf numFmtId="0" fontId="0" fillId="17" borderId="0" xfId="0" applyNumberFormat="1" applyFont="1" applyFill="1" applyBorder="1" applyAlignment="1">
      <x:alignment horizontal="left"/>
    </x:xf>
    <x:xf numFmtId="200" fontId="0" fillId="17" borderId="0" xfId="0" applyNumberFormat="1" applyFont="1" applyFill="1" applyBorder="1" applyAlignment="1">
      <x:alignment horizontal="right"/>
    </x:xf>
    <x:xf numFmtId="201" fontId="0" fillId="17" borderId="0" xfId="0" applyNumberFormat="1" applyFont="1" applyFill="1" applyBorder="1" applyAlignment="1">
      <x:alignment horizontal="right"/>
    </x:xf>
    <x:xf numFmtId="0" fontId="0" fillId="17" borderId="0" xfId="0" applyNumberFormat="1" applyFont="1" applyFill="1" applyBorder="1" applyAlignment="1">
      <x:alignment horizontal="center"/>
    </x:xf>
    <x:xf numFmtId="0" fontId="13" fillId="17" borderId="0" xfId="0" applyNumberFormat="1" applyFont="1" applyFill="1" applyBorder="1" applyAlignment="1">
      <x:alignment horizontal="left"/>
    </x:xf>
    <x:xf numFmtId="200" fontId="13" fillId="17" borderId="0" xfId="0" applyNumberFormat="1" applyFont="1" applyFill="1" applyBorder="1" applyAlignment="1">
      <x:alignment horizontal="right"/>
    </x:xf>
    <x:xf numFmtId="201" fontId="13" fillId="17" borderId="0" xfId="0" applyNumberFormat="1" applyFont="1" applyFill="1" applyBorder="1" applyAlignment="1">
      <x:alignment horizontal="right"/>
    </x:xf>
    <x:xf numFmtId="0" fontId="13" fillId="17" borderId="0" xfId="0" applyNumberFormat="1" applyFont="1" applyFill="1" applyBorder="1" applyAlignment="1">
      <x:alignment horizontal="center"/>
    </x:xf>
    <x:xf numFmtId="0" fontId="13" fillId="17" borderId="13" xfId="0" applyNumberFormat="1" applyFont="1" applyFill="1" applyBorder="1" applyAlignment="1">
      <x:alignment horizontal="left"/>
    </x:xf>
    <x:xf numFmtId="200" fontId="13" fillId="17" borderId="13" xfId="0" applyNumberFormat="1" applyFont="1" applyFill="1" applyBorder="1" applyAlignment="1">
      <x:alignment horizontal="right"/>
    </x:xf>
    <x:xf numFmtId="201" fontId="13" fillId="17" borderId="13" xfId="0" applyNumberFormat="1" applyFont="1" applyFill="1" applyBorder="1" applyAlignment="1">
      <x:alignment horizontal="right"/>
    </x:xf>
    <x:xf numFmtId="0" fontId="13" fillId="17" borderId="13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21" borderId="0" xfId="0" applyNumberFormat="1" applyFont="1" applyFill="1" applyBorder="1"/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horizontal="center"/>
    </x:xf>
    <x:xf numFmtId="0" fontId="19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20" fillId="23" borderId="0" xfId="0" applyNumberFormat="1" applyFont="1" applyFill="1" applyBorder="1"/>
    <x:xf numFmtId="0" fontId="20" fillId="23" borderId="0" xfId="0" applyNumberFormat="1" applyFont="1" applyFill="1" applyBorder="1" applyAlignment="1">
      <x:alignment horizontal="center"/>
    </x:xf>
    <x:xf numFmtId="0" fontId="20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18" xfId="0" applyNumberFormat="1" applyFont="1" applyFill="1" applyBorder="1"/>
    <x:xf numFmtId="0" fontId="21" fillId="24" borderId="19" xfId="0" applyNumberFormat="1" applyFont="1" applyFill="1" applyBorder="1"/>
    <x:xf numFmtId="0" fontId="21" fillId="24" borderId="18" xfId="0" applyNumberFormat="1" applyFont="1" applyFill="1" applyBorder="1" applyAlignment="1">
      <x:alignment horizontal="center"/>
    </x:xf>
    <x:xf numFmtId="0" fontId="21" fillId="24" borderId="19" xfId="0" applyNumberFormat="1" applyFont="1" applyFill="1" applyBorder="1" applyAlignment="1">
      <x:alignment horizontal="center"/>
    </x:xf>
    <x:xf numFmtId="0" fontId="21" fillId="24" borderId="18" xfId="0" applyNumberFormat="1" applyFont="1" applyFill="1" applyBorder="1" applyAlignment="1">
      <x:alignment horizontal="center" vertical="center"/>
    </x:xf>
    <x:xf numFmtId="0" fontId="21" fillId="24" borderId="19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22" fillId="25" borderId="0" xfId="0" applyNumberFormat="1" applyFont="1" applyFill="1" applyBorder="1"/>
    <x:xf numFmtId="0" fontId="22" fillId="25" borderId="20" xfId="0" applyNumberFormat="1" applyFont="1" applyFill="1" applyBorder="1"/>
    <x:xf numFmtId="0" fontId="22" fillId="25" borderId="21" xfId="0" applyNumberFormat="1" applyFont="1" applyFill="1" applyBorder="1"/>
    <x:xf numFmtId="0" fontId="22" fillId="25" borderId="22" xfId="0" applyNumberFormat="1" applyFont="1" applyFill="1" applyBorder="1"/>
    <x:xf numFmtId="0" fontId="22" fillId="25" borderId="23" xfId="0" applyNumberFormat="1" applyFont="1" applyFill="1" applyBorder="1"/>
    <x:xf numFmtId="200" fontId="22" fillId="25" borderId="20" xfId="0" applyNumberFormat="1" applyFont="1" applyFill="1" applyBorder="1"/>
    <x:xf numFmtId="200" fontId="22" fillId="25" borderId="21" xfId="0" applyNumberFormat="1" applyFont="1" applyFill="1" applyBorder="1"/>
    <x:xf numFmtId="200" fontId="22" fillId="25" borderId="22" xfId="0" applyNumberFormat="1" applyFont="1" applyFill="1" applyBorder="1"/>
    <x:xf numFmtId="200" fontId="22" fillId="25" borderId="23" xfId="0" applyNumberFormat="1" applyFont="1" applyFill="1" applyBorder="1"/>
    <x:xf numFmtId="200" fontId="22" fillId="25" borderId="20" xfId="0" applyNumberFormat="1" applyFont="1" applyFill="1" applyBorder="1" applyAlignment="1">
      <x:alignment horizontal="center"/>
    </x:xf>
    <x:xf numFmtId="200" fontId="22" fillId="25" borderId="21" xfId="0" applyNumberFormat="1" applyFont="1" applyFill="1" applyBorder="1" applyAlignment="1">
      <x:alignment horizontal="center"/>
    </x:xf>
    <x:xf numFmtId="200" fontId="22" fillId="25" borderId="22" xfId="0" applyNumberFormat="1" applyFont="1" applyFill="1" applyBorder="1" applyAlignment="1">
      <x:alignment horizontal="center"/>
    </x:xf>
    <x:xf numFmtId="200" fontId="22" fillId="25" borderId="23" xfId="0" applyNumberFormat="1" applyFont="1" applyFill="1" applyBorder="1" applyAlignment="1">
      <x:alignment horizontal="center"/>
    </x:xf>
    <x:xf numFmtId="200" fontId="22" fillId="25" borderId="20" xfId="0" applyNumberFormat="1" applyFont="1" applyFill="1" applyBorder="1" applyAlignment="1">
      <x:alignment horizontal="center" vertical="center"/>
    </x:xf>
    <x:xf numFmtId="200" fontId="22" fillId="25" borderId="21" xfId="0" applyNumberFormat="1" applyFont="1" applyFill="1" applyBorder="1" applyAlignment="1">
      <x:alignment horizontal="center" vertical="center"/>
    </x:xf>
    <x:xf numFmtId="200" fontId="22" fillId="25" borderId="22" xfId="0" applyNumberFormat="1" applyFont="1" applyFill="1" applyBorder="1" applyAlignment="1">
      <x:alignment horizontal="center" vertical="center"/>
    </x:xf>
    <x:xf numFmtId="200" fontId="22" fillId="25" borderId="23" xfId="0" applyNumberFormat="1" applyFont="1" applyFill="1" applyBorder="1" applyAlignment="1">
      <x:alignment horizontal="center" vertical="center"/>
    </x:xf>
    <x:xf numFmtId="0" fontId="21" fillId="25" borderId="0" xfId="0" applyNumberFormat="1" applyFont="1" applyFill="1" applyBorder="1"/>
    <x:xf numFmtId="0" fontId="21" fillId="25" borderId="18" xfId="0" applyNumberFormat="1" applyFont="1" applyFill="1" applyBorder="1"/>
    <x:xf numFmtId="0" fontId="21" fillId="25" borderId="24" xfId="0" applyNumberFormat="1" applyFont="1" applyFill="1" applyBorder="1"/>
    <x:xf numFmtId="0" fontId="21" fillId="25" borderId="19" xfId="0" applyNumberFormat="1" applyFont="1" applyFill="1" applyBorder="1"/>
    <x:xf numFmtId="0" fontId="21" fillId="25" borderId="18" xfId="0" applyNumberFormat="1" applyFont="1" applyFill="1" applyBorder="1" applyAlignment="1">
      <x:alignment horizontal="center"/>
    </x:xf>
    <x:xf numFmtId="0" fontId="21" fillId="25" borderId="24" xfId="0" applyNumberFormat="1" applyFont="1" applyFill="1" applyBorder="1" applyAlignment="1">
      <x:alignment horizontal="center"/>
    </x:xf>
    <x:xf numFmtId="0" fontId="21" fillId="25" borderId="19" xfId="0" applyNumberFormat="1" applyFont="1" applyFill="1" applyBorder="1" applyAlignment="1">
      <x:alignment horizontal="center"/>
    </x:xf>
    <x:xf numFmtId="0" fontId="21" fillId="25" borderId="18" xfId="0" applyNumberFormat="1" applyFont="1" applyFill="1" applyBorder="1" applyAlignment="1">
      <x:alignment horizontal="center" vertical="center"/>
    </x:xf>
    <x:xf numFmtId="0" fontId="21" fillId="25" borderId="24" xfId="0" applyNumberFormat="1" applyFont="1" applyFill="1" applyBorder="1" applyAlignment="1">
      <x:alignment horizontal="center" vertical="center"/>
    </x:xf>
    <x:xf numFmtId="0" fontId="21" fillId="25" borderId="19" xfId="0" applyNumberFormat="1" applyFont="1" applyFill="1" applyBorder="1" applyAlignment="1">
      <x:alignment horizontal="center" vertical="center"/>
    </x:xf>
    <x:xf numFmtId="0" fontId="23" fillId="23" borderId="0" xfId="0" applyNumberFormat="1" applyFont="1" applyFill="1" applyBorder="1"/>
    <x:xf numFmtId="0" fontId="23" fillId="23" borderId="25" xfId="0" applyNumberFormat="1" applyFont="1" applyFill="1" applyBorder="1"/>
    <x:xf numFmtId="0" fontId="23" fillId="23" borderId="25" xfId="0" applyNumberFormat="1" applyFont="1" applyFill="1" applyBorder="1" applyAlignment="1">
      <x:alignment wrapText="1"/>
    </x:xf>
    <x:xf numFmtId="0" fontId="23" fillId="23" borderId="25" xfId="0" applyNumberFormat="1" applyFont="1" applyFill="1" applyBorder="1" applyAlignment="1">
      <x:alignment horizontal="center" wrapText="1"/>
    </x:xf>
    <x:xf numFmtId="0" fontId="23" fillId="23" borderId="25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/>
    <x:xf numFmtId="0" fontId="24" fillId="0" borderId="26" xfId="0" applyNumberFormat="1" applyFont="1" applyFill="1" applyBorder="1"/>
    <x:xf numFmtId="0" fontId="24" fillId="0" borderId="27" xfId="0" applyNumberFormat="1" applyFont="1" applyFill="1" applyBorder="1"/>
    <x:xf numFmtId="0" fontId="24" fillId="0" borderId="28" xfId="0" applyNumberFormat="1" applyFont="1" applyFill="1" applyBorder="1"/>
    <x:xf numFmtId="0" fontId="24" fillId="0" borderId="26" xfId="0" applyNumberFormat="1" applyFont="1" applyFill="1" applyBorder="1" applyAlignment="1">
      <x:alignment vertical="center"/>
    </x:xf>
    <x:xf numFmtId="0" fontId="24" fillId="0" borderId="27" xfId="0" applyNumberFormat="1" applyFont="1" applyFill="1" applyBorder="1" applyAlignment="1">
      <x:alignment vertical="center"/>
    </x:xf>
    <x:xf numFmtId="0" fontId="24" fillId="0" borderId="28" xfId="0" applyNumberFormat="1" applyFont="1" applyFill="1" applyBorder="1" applyAlignment="1">
      <x:alignment vertical="center"/>
    </x:xf>
    <x:xf numFmtId="0" fontId="24" fillId="25" borderId="27" xfId="0" applyNumberFormat="1" applyFont="1" applyFill="1" applyBorder="1" applyAlignment="1">
      <x:alignment vertical="center"/>
    </x:xf>
    <x:xf numFmtId="0" fontId="24" fillId="25" borderId="28" xfId="0" applyNumberFormat="1" applyFont="1" applyFill="1" applyBorder="1" applyAlignment="1">
      <x:alignment vertical="center"/>
    </x:xf>
    <x:xf numFmtId="0" fontId="24" fillId="0" borderId="26" xfId="0" applyNumberFormat="1" applyFont="1" applyFill="1" applyBorder="1" applyAlignment="1">
      <x:alignment horizontal="center" vertical="center"/>
    </x:xf>
    <x:xf numFmtId="0" fontId="24" fillId="25" borderId="27" xfId="0" applyNumberFormat="1" applyFont="1" applyFill="1" applyBorder="1" applyAlignment="1">
      <x:alignment horizontal="center" vertical="center"/>
    </x:xf>
    <x:xf numFmtId="0" fontId="24" fillId="0" borderId="27" xfId="0" applyNumberFormat="1" applyFont="1" applyFill="1" applyBorder="1" applyAlignment="1">
      <x:alignment horizontal="center" vertical="center"/>
    </x:xf>
    <x:xf numFmtId="0" fontId="24" fillId="25" borderId="28" xfId="0" applyNumberFormat="1" applyFont="1" applyFill="1" applyBorder="1" applyAlignment="1">
      <x:alignment horizontal="center" vertical="center"/>
    </x:xf>
    <x:xf numFmtId="200" fontId="24" fillId="0" borderId="26" xfId="0" applyNumberFormat="1" applyFont="1" applyFill="1" applyBorder="1" applyAlignment="1">
      <x:alignment horizontal="center" vertical="center"/>
    </x:xf>
    <x:xf numFmtId="200" fontId="24" fillId="25" borderId="27" xfId="0" applyNumberFormat="1" applyFont="1" applyFill="1" applyBorder="1" applyAlignment="1">
      <x:alignment horizontal="center" vertical="center"/>
    </x:xf>
    <x:xf numFmtId="200" fontId="24" fillId="0" borderId="27" xfId="0" applyNumberFormat="1" applyFont="1" applyFill="1" applyBorder="1" applyAlignment="1">
      <x:alignment horizontal="center" vertical="center"/>
    </x:xf>
    <x:xf numFmtId="200" fontId="24" fillId="25" borderId="28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2" fontId="24" fillId="0" borderId="26" xfId="0" applyNumberFormat="1" applyFont="1" applyFill="1" applyBorder="1" applyAlignment="1">
      <x:alignment horizontal="center" vertical="center"/>
    </x:xf>
    <x:xf numFmtId="202" fontId="24" fillId="25" borderId="27" xfId="0" applyNumberFormat="1" applyFont="1" applyFill="1" applyBorder="1" applyAlignment="1">
      <x:alignment horizontal="center" vertical="center"/>
    </x:xf>
    <x:xf numFmtId="202" fontId="24" fillId="0" borderId="27" xfId="0" applyNumberFormat="1" applyFont="1" applyFill="1" applyBorder="1" applyAlignment="1">
      <x:alignment horizontal="center" vertical="center"/>
    </x:xf>
    <x:xf numFmtId="202" fontId="24" fillId="25" borderId="28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0" fillId="24" borderId="0" xfId="0" applyNumberFormat="1" applyFont="1" applyFill="1" applyBorder="1"/>
    <x:xf numFmtId="202" fontId="0" fillId="24" borderId="0" xfId="0" applyNumberFormat="1" applyFont="1" applyFill="1" applyBorder="1"/>
    <x:xf numFmtId="0" fontId="25" fillId="24" borderId="0" xfId="0" applyNumberFormat="1" applyFont="1" applyFill="1" applyBorder="1"/>
    <x:xf numFmtId="200" fontId="25" fillId="24" borderId="0" xfId="0" applyNumberFormat="1" applyFont="1" applyFill="1" applyBorder="1"/>
    <x:xf numFmtId="202" fontId="25" fillId="24" borderId="0" xfId="0" applyNumberFormat="1" applyFont="1" applyFill="1" applyBorder="1"/>
    <x:xf numFmtId="0" fontId="25" fillId="24" borderId="29" xfId="0" applyNumberFormat="1" applyFont="1" applyFill="1" applyBorder="1"/>
    <x:xf numFmtId="200" fontId="25" fillId="24" borderId="29" xfId="0" applyNumberFormat="1" applyFont="1" applyFill="1" applyBorder="1"/>
    <x:xf numFmtId="202" fontId="25" fillId="24" borderId="29" xfId="0" applyNumberFormat="1" applyFont="1" applyFill="1" applyBorder="1"/>
    <x:xf numFmtId="0" fontId="25" fillId="24" borderId="29" xfId="0" applyNumberFormat="1" applyFont="1" applyFill="1" applyBorder="1" applyAlignment="1">
      <x:alignment horizontal="center"/>
    </x:xf>
    <x:xf numFmtId="200" fontId="25" fillId="24" borderId="29" xfId="0" applyNumberFormat="1" applyFont="1" applyFill="1" applyBorder="1" applyAlignment="1">
      <x:alignment horizontal="center"/>
    </x:xf>
    <x:xf numFmtId="202" fontId="25" fillId="24" borderId="29" xfId="0" applyNumberFormat="1" applyFont="1" applyFill="1" applyBorder="1" applyAlignment="1">
      <x:alignment horizontal="center"/>
    </x:xf>
    <x:xf numFmtId="0" fontId="25" fillId="24" borderId="29" xfId="0" applyNumberFormat="1" applyFont="1" applyFill="1" applyBorder="1" applyAlignment="1">
      <x:alignment horizontal="center" vertical="center"/>
    </x:xf>
    <x:xf numFmtId="200" fontId="25" fillId="24" borderId="29" xfId="0" applyNumberFormat="1" applyFont="1" applyFill="1" applyBorder="1" applyAlignment="1">
      <x:alignment horizontal="center" vertical="center"/>
    </x:xf>
    <x:xf numFmtId="202" fontId="25" fillId="24" borderId="29" xfId="0" applyNumberFormat="1" applyFont="1" applyFill="1" applyBorder="1" applyAlignment="1">
      <x:alignment horizontal="center" vertical="center"/>
    </x:xf>
    <x:xf numFmtId="0" fontId="25" fillId="24" borderId="29" xfId="0" applyNumberFormat="1" applyFont="1" applyFill="1" applyBorder="1" applyAlignment="1">
      <x:alignment horizontal="left" vertical="center"/>
    </x:xf>
    <x:xf numFmtId="0" fontId="26" fillId="22" borderId="0" xfId="0" applyNumberFormat="1" applyFont="1" applyFill="1" applyBorder="1"/>
    <x:xf numFmtId="0" fontId="26" fillId="22" borderId="0" xfId="0" applyNumberFormat="1" applyFont="1" applyFill="1" applyBorder="1" applyAlignment="1">
      <x:alignment horizontal="left"/>
    </x:xf>
    <x:xf numFmtId="0" fontId="26" fillId="22" borderId="0" xfId="0" applyNumberFormat="1" applyFont="1" applyFill="1" applyBorder="1" applyAlignment="1">
      <x:alignment horizontal="left" vertical="center"/>
    </x:xf>
    <x:xf numFmtId="0" fontId="23" fillId="23" borderId="30" xfId="0" applyNumberFormat="1" applyFont="1" applyFill="1" applyBorder="1"/>
    <x:xf numFmtId="0" fontId="23" fillId="23" borderId="31" xfId="0" applyNumberFormat="1" applyFont="1" applyFill="1" applyBorder="1"/>
    <x:xf numFmtId="0" fontId="23" fillId="23" borderId="32" xfId="0" applyNumberFormat="1" applyFont="1" applyFill="1" applyBorder="1"/>
    <x:xf numFmtId="0" fontId="23" fillId="23" borderId="30" xfId="0" applyNumberFormat="1" applyFont="1" applyFill="1" applyBorder="1" applyAlignment="1">
      <x:alignment horizontal="center"/>
    </x:xf>
    <x:xf numFmtId="0" fontId="23" fillId="23" borderId="31" xfId="0" applyNumberFormat="1" applyFont="1" applyFill="1" applyBorder="1" applyAlignment="1">
      <x:alignment horizontal="center"/>
    </x:xf>
    <x:xf numFmtId="0" fontId="23" fillId="23" borderId="32" xfId="0" applyNumberFormat="1" applyFont="1" applyFill="1" applyBorder="1" applyAlignment="1">
      <x:alignment horizontal="center"/>
    </x:xf>
    <x:xf numFmtId="0" fontId="23" fillId="23" borderId="30" xfId="0" applyNumberFormat="1" applyFont="1" applyFill="1" applyBorder="1" applyAlignment="1">
      <x:alignment horizontal="center" vertical="center"/>
    </x:xf>
    <x:xf numFmtId="0" fontId="23" fillId="23" borderId="31" xfId="0" applyNumberFormat="1" applyFont="1" applyFill="1" applyBorder="1" applyAlignment="1">
      <x:alignment horizontal="center" vertical="center"/>
    </x:xf>
    <x:xf numFmtId="0" fontId="23" fillId="23" borderId="32" xfId="0" applyNumberFormat="1" applyFont="1" applyFill="1" applyBorder="1" applyAlignment="1">
      <x:alignment horizontal="center" vertical="center"/>
    </x:xf>
    <x:xf numFmtId="0" fontId="24" fillId="0" borderId="26" xfId="0" applyNumberFormat="1" applyFont="1" applyFill="1" applyBorder="1" applyAlignment="1">
      <x:alignment horizontal="center"/>
    </x:xf>
    <x:xf numFmtId="0" fontId="24" fillId="0" borderId="27" xfId="0" applyNumberFormat="1" applyFont="1" applyFill="1" applyBorder="1" applyAlignment="1">
      <x:alignment horizontal="center"/>
    </x:xf>
    <x:xf numFmtId="0" fontId="24" fillId="0" borderId="28" xfId="0" applyNumberFormat="1" applyFont="1" applyFill="1" applyBorder="1" applyAlignment="1">
      <x:alignment horizontal="center"/>
    </x:xf>
    <x:xf numFmtId="0" fontId="24" fillId="0" borderId="28" xfId="0" applyNumberFormat="1" applyFont="1" applyFill="1" applyBorder="1" applyAlignment="1">
      <x:alignment horizontal="center" vertical="center"/>
    </x:xf>
    <x:xf numFmtId="200" fontId="24" fillId="0" borderId="28" xfId="0" applyNumberFormat="1" applyFont="1" applyFill="1" applyBorder="1" applyAlignment="1">
      <x:alignment horizontal="center" vertical="center"/>
    </x:xf>
    <x:xf numFmtId="202" fontId="24" fillId="0" borderId="28" xfId="0" applyNumberFormat="1" applyFont="1" applyFill="1" applyBorder="1" applyAlignment="1">
      <x:alignment horizontal="center" vertical="center"/>
    </x:xf>
    <x:xf numFmtId="200" fontId="24" fillId="0" borderId="26" xfId="0" applyNumberFormat="1" applyFont="1" applyFill="1" applyBorder="1" applyAlignment="1">
      <x:alignment vertical="center"/>
    </x:xf>
    <x:xf numFmtId="200" fontId="24" fillId="0" borderId="27" xfId="0" applyNumberFormat="1" applyFont="1" applyFill="1" applyBorder="1" applyAlignment="1">
      <x:alignment vertical="center"/>
    </x:xf>
    <x:xf numFmtId="200" fontId="24" fillId="0" borderId="2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24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 applyAlignment="1">
      <x:alignment horizontal="center"/>
    </x:xf>
    <x:xf numFmtId="200" fontId="25" fillId="24" borderId="0" xfId="0" applyNumberFormat="1" applyFont="1" applyFill="1" applyBorder="1" applyAlignment="1">
      <x:alignment horizontal="center"/>
    </x:xf>
    <x:xf numFmtId="0" fontId="25" fillId="24" borderId="0" xfId="0" applyNumberFormat="1" applyFont="1" applyFill="1" applyBorder="1" applyAlignment="1">
      <x:alignment horizontal="center"/>
    </x:xf>
    <x:xf numFmtId="0" fontId="25" fillId="24" borderId="29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19" fillId="26" borderId="0" xfId="0" applyNumberFormat="1" applyFont="1" applyFill="1" applyBorder="1" applyAlignment="1">
      <x:alignment horizontal="center"/>
    </x:xf>
    <x:xf numFmtId="0" fontId="19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20" fillId="27" borderId="0" xfId="0" applyNumberFormat="1" applyFont="1" applyFill="1" applyBorder="1"/>
    <x:xf numFmtId="0" fontId="20" fillId="27" borderId="0" xfId="0" applyNumberFormat="1" applyFont="1" applyFill="1" applyBorder="1" applyAlignment="1">
      <x:alignment horizontal="center"/>
    </x:xf>
    <x:xf numFmtId="0" fontId="20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8" fillId="28" borderId="0" xfId="0" applyNumberFormat="1" applyFont="1" applyFill="1" applyBorder="1"/>
    <x:xf numFmtId="0" fontId="28" fillId="28" borderId="18" xfId="0" applyNumberFormat="1" applyFont="1" applyFill="1" applyBorder="1"/>
    <x:xf numFmtId="0" fontId="28" fillId="28" borderId="19" xfId="0" applyNumberFormat="1" applyFont="1" applyFill="1" applyBorder="1"/>
    <x:xf numFmtId="0" fontId="28" fillId="28" borderId="18" xfId="0" applyNumberFormat="1" applyFont="1" applyFill="1" applyBorder="1" applyAlignment="1">
      <x:alignment wrapText="1"/>
    </x:xf>
    <x:xf numFmtId="0" fontId="28" fillId="28" borderId="19" xfId="0" applyNumberFormat="1" applyFont="1" applyFill="1" applyBorder="1" applyAlignment="1">
      <x:alignment wrapText="1"/>
    </x:xf>
    <x:xf numFmtId="0" fontId="28" fillId="28" borderId="18" xfId="0" applyNumberFormat="1" applyFont="1" applyFill="1" applyBorder="1" applyAlignment="1">
      <x:alignment horizontal="center" wrapText="1"/>
    </x:xf>
    <x:xf numFmtId="0" fontId="28" fillId="28" borderId="19" xfId="0" applyNumberFormat="1" applyFont="1" applyFill="1" applyBorder="1" applyAlignment="1">
      <x:alignment horizontal="center" wrapText="1"/>
    </x:xf>
    <x:xf numFmtId="0" fontId="28" fillId="28" borderId="18" xfId="0" applyNumberFormat="1" applyFont="1" applyFill="1" applyBorder="1" applyAlignment="1">
      <x:alignment horizontal="center" vertical="center" wrapText="1"/>
    </x:xf>
    <x:xf numFmtId="0" fontId="28" fillId="28" borderId="19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22" fillId="29" borderId="0" xfId="0" applyNumberFormat="1" applyFont="1" applyFill="1" applyBorder="1"/>
    <x:xf numFmtId="0" fontId="22" fillId="29" borderId="20" xfId="0" applyNumberFormat="1" applyFont="1" applyFill="1" applyBorder="1"/>
    <x:xf numFmtId="0" fontId="22" fillId="29" borderId="21" xfId="0" applyNumberFormat="1" applyFont="1" applyFill="1" applyBorder="1"/>
    <x:xf numFmtId="0" fontId="22" fillId="29" borderId="22" xfId="0" applyNumberFormat="1" applyFont="1" applyFill="1" applyBorder="1"/>
    <x:xf numFmtId="0" fontId="22" fillId="29" borderId="23" xfId="0" applyNumberFormat="1" applyFont="1" applyFill="1" applyBorder="1"/>
    <x:xf numFmtId="200" fontId="22" fillId="29" borderId="20" xfId="0" applyNumberFormat="1" applyFont="1" applyFill="1" applyBorder="1"/>
    <x:xf numFmtId="200" fontId="22" fillId="29" borderId="21" xfId="0" applyNumberFormat="1" applyFont="1" applyFill="1" applyBorder="1"/>
    <x:xf numFmtId="200" fontId="22" fillId="29" borderId="22" xfId="0" applyNumberFormat="1" applyFont="1" applyFill="1" applyBorder="1"/>
    <x:xf numFmtId="200" fontId="22" fillId="29" borderId="23" xfId="0" applyNumberFormat="1" applyFont="1" applyFill="1" applyBorder="1"/>
    <x:xf numFmtId="200" fontId="22" fillId="29" borderId="20" xfId="0" applyNumberFormat="1" applyFont="1" applyFill="1" applyBorder="1" applyAlignment="1">
      <x:alignment horizontal="center"/>
    </x:xf>
    <x:xf numFmtId="200" fontId="22" fillId="29" borderId="21" xfId="0" applyNumberFormat="1" applyFont="1" applyFill="1" applyBorder="1" applyAlignment="1">
      <x:alignment horizontal="center"/>
    </x:xf>
    <x:xf numFmtId="200" fontId="22" fillId="29" borderId="22" xfId="0" applyNumberFormat="1" applyFont="1" applyFill="1" applyBorder="1" applyAlignment="1">
      <x:alignment horizontal="center"/>
    </x:xf>
    <x:xf numFmtId="200" fontId="22" fillId="29" borderId="23" xfId="0" applyNumberFormat="1" applyFont="1" applyFill="1" applyBorder="1" applyAlignment="1">
      <x:alignment horizontal="center"/>
    </x:xf>
    <x:xf numFmtId="200" fontId="22" fillId="29" borderId="20" xfId="0" applyNumberFormat="1" applyFont="1" applyFill="1" applyBorder="1" applyAlignment="1">
      <x:alignment horizontal="center" vertical="center"/>
    </x:xf>
    <x:xf numFmtId="200" fontId="22" fillId="29" borderId="21" xfId="0" applyNumberFormat="1" applyFont="1" applyFill="1" applyBorder="1" applyAlignment="1">
      <x:alignment horizontal="center" vertical="center"/>
    </x:xf>
    <x:xf numFmtId="200" fontId="22" fillId="29" borderId="22" xfId="0" applyNumberFormat="1" applyFont="1" applyFill="1" applyBorder="1" applyAlignment="1">
      <x:alignment horizontal="center" vertical="center"/>
    </x:xf>
    <x:xf numFmtId="200" fontId="22" fillId="29" borderId="23" xfId="0" applyNumberFormat="1" applyFont="1" applyFill="1" applyBorder="1" applyAlignment="1">
      <x:alignment horizontal="center" vertical="center"/>
    </x:xf>
    <x:xf numFmtId="0" fontId="21" fillId="29" borderId="0" xfId="0" applyNumberFormat="1" applyFont="1" applyFill="1" applyBorder="1"/>
    <x:xf numFmtId="0" fontId="21" fillId="29" borderId="18" xfId="0" applyNumberFormat="1" applyFont="1" applyFill="1" applyBorder="1"/>
    <x:xf numFmtId="0" fontId="21" fillId="29" borderId="24" xfId="0" applyNumberFormat="1" applyFont="1" applyFill="1" applyBorder="1"/>
    <x:xf numFmtId="0" fontId="21" fillId="29" borderId="19" xfId="0" applyNumberFormat="1" applyFont="1" applyFill="1" applyBorder="1"/>
    <x:xf numFmtId="0" fontId="21" fillId="29" borderId="18" xfId="0" applyNumberFormat="1" applyFont="1" applyFill="1" applyBorder="1" applyAlignment="1">
      <x:alignment horizontal="center"/>
    </x:xf>
    <x:xf numFmtId="0" fontId="21" fillId="29" borderId="24" xfId="0" applyNumberFormat="1" applyFont="1" applyFill="1" applyBorder="1" applyAlignment="1">
      <x:alignment horizontal="center"/>
    </x:xf>
    <x:xf numFmtId="0" fontId="21" fillId="29" borderId="19" xfId="0" applyNumberFormat="1" applyFont="1" applyFill="1" applyBorder="1" applyAlignment="1">
      <x:alignment horizontal="center"/>
    </x:xf>
    <x:xf numFmtId="0" fontId="21" fillId="29" borderId="18" xfId="0" applyNumberFormat="1" applyFont="1" applyFill="1" applyBorder="1" applyAlignment="1">
      <x:alignment horizontal="center" vertical="center"/>
    </x:xf>
    <x:xf numFmtId="0" fontId="21" fillId="29" borderId="24" xfId="0" applyNumberFormat="1" applyFont="1" applyFill="1" applyBorder="1" applyAlignment="1">
      <x:alignment horizontal="center" vertical="center"/>
    </x:xf>
    <x:xf numFmtId="0" fontId="21" fillId="29" borderId="19" xfId="0" applyNumberFormat="1" applyFont="1" applyFill="1" applyBorder="1" applyAlignment="1">
      <x:alignment horizontal="center" vertical="center"/>
    </x:xf>
    <x:xf numFmtId="0" fontId="23" fillId="27" borderId="0" xfId="0" applyNumberFormat="1" applyFont="1" applyFill="1" applyBorder="1"/>
    <x:xf numFmtId="0" fontId="23" fillId="27" borderId="25" xfId="0" applyNumberFormat="1" applyFont="1" applyFill="1" applyBorder="1"/>
    <x:xf numFmtId="0" fontId="23" fillId="27" borderId="25" xfId="0" applyNumberFormat="1" applyFont="1" applyFill="1" applyBorder="1" applyAlignment="1">
      <x:alignment wrapText="1"/>
    </x:xf>
    <x:xf numFmtId="0" fontId="23" fillId="27" borderId="25" xfId="0" applyNumberFormat="1" applyFont="1" applyFill="1" applyBorder="1" applyAlignment="1">
      <x:alignment horizontal="center" wrapText="1"/>
    </x:xf>
    <x:xf numFmtId="0" fontId="23" fillId="27" borderId="25" xfId="0" applyNumberFormat="1" applyFont="1" applyFill="1" applyBorder="1" applyAlignment="1">
      <x:alignment horizontal="center" vertical="center" wrapText="1"/>
    </x:xf>
    <x:xf numFmtId="0" fontId="24" fillId="29" borderId="27" xfId="0" applyNumberFormat="1" applyFont="1" applyFill="1" applyBorder="1" applyAlignment="1">
      <x:alignment horizontal="center" vertical="center"/>
    </x:xf>
    <x:xf numFmtId="0" fontId="24" fillId="29" borderId="28" xfId="0" applyNumberFormat="1" applyFont="1" applyFill="1" applyBorder="1" applyAlignment="1">
      <x:alignment horizontal="center" vertical="center"/>
    </x:xf>
    <x:xf numFmtId="200" fontId="24" fillId="29" borderId="27" xfId="0" applyNumberFormat="1" applyFont="1" applyFill="1" applyBorder="1" applyAlignment="1">
      <x:alignment horizontal="center" vertical="center"/>
    </x:xf>
    <x:xf numFmtId="200" fontId="24" fillId="29" borderId="28" xfId="0" applyNumberFormat="1" applyFont="1" applyFill="1" applyBorder="1" applyAlignment="1">
      <x:alignment horizontal="center" vertical="center"/>
    </x:xf>
    <x:xf numFmtId="202" fontId="24" fillId="29" borderId="27" xfId="0" applyNumberFormat="1" applyFont="1" applyFill="1" applyBorder="1" applyAlignment="1">
      <x:alignment horizontal="center" vertical="center"/>
    </x:xf>
    <x:xf numFmtId="202" fontId="24" fillId="29" borderId="28" xfId="0" applyNumberFormat="1" applyFont="1" applyFill="1" applyBorder="1" applyAlignment="1">
      <x:alignment horizontal="center" vertical="center"/>
    </x:xf>
    <x:xf numFmtId="200" fontId="0" fillId="28" borderId="0" xfId="0" applyNumberFormat="1" applyFont="1" applyFill="1" applyBorder="1"/>
    <x:xf numFmtId="202" fontId="0" fillId="28" borderId="0" xfId="0" applyNumberFormat="1" applyFont="1" applyFill="1" applyBorder="1"/>
    <x:xf numFmtId="0" fontId="25" fillId="28" borderId="0" xfId="0" applyNumberFormat="1" applyFont="1" applyFill="1" applyBorder="1"/>
    <x:xf numFmtId="200" fontId="25" fillId="28" borderId="0" xfId="0" applyNumberFormat="1" applyFont="1" applyFill="1" applyBorder="1"/>
    <x:xf numFmtId="202" fontId="25" fillId="28" borderId="0" xfId="0" applyNumberFormat="1" applyFont="1" applyFill="1" applyBorder="1"/>
    <x:xf numFmtId="0" fontId="25" fillId="28" borderId="29" xfId="0" applyNumberFormat="1" applyFont="1" applyFill="1" applyBorder="1"/>
    <x:xf numFmtId="200" fontId="25" fillId="28" borderId="29" xfId="0" applyNumberFormat="1" applyFont="1" applyFill="1" applyBorder="1"/>
    <x:xf numFmtId="202" fontId="25" fillId="28" borderId="29" xfId="0" applyNumberFormat="1" applyFont="1" applyFill="1" applyBorder="1"/>
    <x:xf numFmtId="0" fontId="25" fillId="28" borderId="29" xfId="0" applyNumberFormat="1" applyFont="1" applyFill="1" applyBorder="1" applyAlignment="1">
      <x:alignment horizontal="center"/>
    </x:xf>
    <x:xf numFmtId="200" fontId="25" fillId="28" borderId="29" xfId="0" applyNumberFormat="1" applyFont="1" applyFill="1" applyBorder="1" applyAlignment="1">
      <x:alignment horizontal="center"/>
    </x:xf>
    <x:xf numFmtId="202" fontId="25" fillId="28" borderId="29" xfId="0" applyNumberFormat="1" applyFont="1" applyFill="1" applyBorder="1" applyAlignment="1">
      <x:alignment horizontal="center"/>
    </x:xf>
    <x:xf numFmtId="0" fontId="25" fillId="28" borderId="29" xfId="0" applyNumberFormat="1" applyFont="1" applyFill="1" applyBorder="1" applyAlignment="1">
      <x:alignment horizontal="center" vertical="center"/>
    </x:xf>
    <x:xf numFmtId="200" fontId="25" fillId="28" borderId="29" xfId="0" applyNumberFormat="1" applyFont="1" applyFill="1" applyBorder="1" applyAlignment="1">
      <x:alignment horizontal="center" vertical="center"/>
    </x:xf>
    <x:xf numFmtId="202" fontId="25" fillId="28" borderId="29" xfId="0" applyNumberFormat="1" applyFont="1" applyFill="1" applyBorder="1" applyAlignment="1">
      <x:alignment horizontal="center" vertical="center"/>
    </x:xf>
    <x:xf numFmtId="0" fontId="25" fillId="28" borderId="29" xfId="0" applyNumberFormat="1" applyFont="1" applyFill="1" applyBorder="1" applyAlignment="1">
      <x:alignment horizontal="left" vertical="center"/>
    </x:xf>
    <x:xf numFmtId="0" fontId="26" fillId="26" borderId="0" xfId="0" applyNumberFormat="1" applyFont="1" applyFill="1" applyBorder="1"/>
    <x:xf numFmtId="0" fontId="26" fillId="26" borderId="0" xfId="0" applyNumberFormat="1" applyFont="1" applyFill="1" applyBorder="1" applyAlignment="1">
      <x:alignment horizontal="left"/>
    </x:xf>
    <x:xf numFmtId="0" fontId="26" fillId="26" borderId="0" xfId="0" applyNumberFormat="1" applyFont="1" applyFill="1" applyBorder="1" applyAlignment="1">
      <x:alignment horizontal="left" vertical="center"/>
    </x:xf>
    <x:xf numFmtId="0" fontId="23" fillId="27" borderId="0" xfId="0" applyNumberFormat="1" applyFont="1" applyFill="1" applyBorder="1" applyAlignment="1">
      <x:alignment wrapText="1"/>
    </x:xf>
    <x:xf numFmtId="0" fontId="23" fillId="27" borderId="0" xfId="0" applyNumberFormat="1" applyFont="1" applyFill="1" applyBorder="1" applyAlignment="1">
      <x:alignment horizontal="center" wrapText="1"/>
    </x:xf>
    <x:xf numFmtId="0" fontId="23" fillId="27" borderId="0" xfId="0" applyNumberFormat="1" applyFont="1" applyFill="1" applyBorder="1" applyAlignment="1">
      <x:alignment horizontal="center" vertical="center" wrapText="1"/>
    </x:xf>
    <x:xf numFmtId="202" fontId="24" fillId="0" borderId="26" xfId="0" applyNumberFormat="1" applyFont="1" applyFill="1" applyBorder="1" applyAlignment="1">
      <x:alignment vertical="center"/>
    </x:xf>
    <x:xf numFmtId="202" fontId="24" fillId="0" borderId="2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/>
    </x:xf>
    <x:xf numFmtId="200" fontId="0" fillId="28" borderId="0" xfId="0" applyNumberFormat="1" applyFont="1" applyFill="1" applyBorder="1" applyAlignment="1">
      <x:alignment horizontal="center"/>
    </x:xf>
    <x:xf numFmtId="202" fontId="0" fillId="28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 applyAlignment="1">
      <x:alignment horizontal="center"/>
    </x:xf>
    <x:xf numFmtId="200" fontId="25" fillId="28" borderId="0" xfId="0" applyNumberFormat="1" applyFont="1" applyFill="1" applyBorder="1" applyAlignment="1">
      <x:alignment horizontal="center"/>
    </x:xf>
    <x:xf numFmtId="202" fontId="25" fillId="28" borderId="0" xfId="0" applyNumberFormat="1" applyFont="1" applyFill="1" applyBorder="1" applyAlignment="1">
      <x:alignment horizontal="center"/>
    </x:xf>
    <x:xf numFmtId="0" fontId="25" fillId="2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2">
    <x:dxf>
      <x:font>
        <x:b/>
        <x:color rgb="FFA61B1B"/>
      </x:font>
      <x:fill>
        <x:patternFill>
          <x:bgColor rgb="FFFDECEC"/>
        </x:patternFill>
      </x:fill>
    </x:dxf>
    <x:dxf>
      <x:font>
        <x:b/>
        <x:color rgb="FF176B3A"/>
      </x:font>
      <x:fill>
        <x:patternFill>
          <x:bgColor rgb="FFE8F4EC"/>
        </x:patternFill>
      </x:fill>
    </x:dxf>
    <x:dxf>
      <x:font>
        <x:b/>
        <x:color rgb="FF7A5A00"/>
      </x:font>
      <x:fill>
        <x:patternFill>
          <x:bgColor rgb="FFFFF4D6"/>
        </x:patternFill>
      </x:fill>
    </x:dxf>
    <x:dxf>
      <x:font>
        <x:b/>
        <x:color rgb="FFA61B1B"/>
      </x:font>
      <x:fill>
        <x:patternFill>
          <x:bgColor rgb="FFFADDDD"/>
        </x:patternFill>
      </x:fill>
    </x:dxf>
    <x:dxf>
      <x:font>
        <x:b/>
        <x:color rgb="FF176B49"/>
      </x:font>
      <x:fill>
        <x:patternFill>
          <x:bgColor rgb="FFE4F2E9"/>
        </x:patternFill>
      </x:fill>
    </x:dxf>
    <x:dxf>
      <x:font>
        <x:b/>
        <x:color rgb="FFB42318"/>
      </x:font>
      <x:fill>
        <x:patternFill>
          <x:bgColor rgb="FFFBE0E0"/>
        </x:patternFill>
      </x:fill>
    </x:dxf>
    <x:dxf>
      <x:font>
        <x:b/>
        <x:color rgb="FF8A5A00"/>
      </x:font>
      <x:fill>
        <x:patternFill>
          <x:bgColor rgb="FFFFF3CF"/>
        </x:patternFill>
      </x:fill>
    </x:dxf>
    <x:dxf>
      <x:font>
        <x:b/>
        <x:color rgb="FFB42318"/>
      </x:font>
      <x:fill>
        <x:patternFill>
          <x:bgColor rgb="FFFBE0E0"/>
        </x:patternFill>
      </x:fill>
    </x:dxf>
    <x:dxf>
      <x:font>
        <x:b/>
        <x:color rgb="FF8A5A00"/>
      </x:font>
      <x:fill>
        <x:patternFill>
          <x:bgColor rgb="FFFFF3CF"/>
        </x:patternFill>
      </x:fill>
    </x:dxf>
    <x:dxf>
      <x:font>
        <x:b/>
        <x:color rgb="FF176B49"/>
      </x:font>
      <x:fill>
        <x:patternFill>
          <x:bgColor rgb="FFE4F2E9"/>
        </x:patternFill>
      </x:fill>
    </x:dxf>
    <x:dxf>
      <x:font>
        <x:color rgb="FF78827D"/>
      </x:font>
      <x:fill>
        <x:patternFill patternType="solid">
          <x:bgColor rgb="FFF1F3F2"/>
        </x:patternFill>
      </x:fill>
    </x:dxf>
    <x:dxf>
      <x:font>
        <x:b/>
        <x:color rgb="FF176B49"/>
      </x:font>
      <x:fill>
        <x:patternFill patternType="solid">
          <x:bgColor rgb="FFE4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4084c966d411c" /><Relationship Type="http://schemas.openxmlformats.org/officeDocument/2006/relationships/theme" Target="/xl/theme/theme1.xml" Id="R19d95986911e43d2" /><Relationship Type="http://schemas.openxmlformats.org/officeDocument/2006/relationships/sharedStrings" Target="/xl/sharedStrings.xml" Id="Rdc87042db7e74e2c" /><Relationship Type="http://schemas.openxmlformats.org/officeDocument/2006/relationships/worksheet" Target="/xl/worksheets/sheet1.xml" Id="R201b35a9e985415b" /><Relationship Type="http://schemas.openxmlformats.org/officeDocument/2006/relationships/worksheet" Target="/xl/worksheets/sheet2.xml" Id="R3e57008b7fae48e3" /><Relationship Type="http://schemas.openxmlformats.org/officeDocument/2006/relationships/worksheet" Target="/xl/worksheets/sheet3.xml" Id="R5fd1d510508e4591" /><Relationship Type="http://schemas.openxmlformats.org/officeDocument/2006/relationships/worksheet" Target="/xl/worksheets/sheet4.xml" Id="R2bff6edef82f4445" /><Relationship Type="http://schemas.openxmlformats.org/officeDocument/2006/relationships/worksheet" Target="/xl/worksheets/sheet5.xml" Id="Rc8fb8ca248b841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4" customHeight="1">
      <x:c r="A1" s="4" t="str">
        <x:v>JUNTADA DE DADOS - DEMISSÕES E EXONERAÇÕES</x:v>
      </x:c>
      <x:c r="B1" s="4"/>
      <x:c r="C1" s="4"/>
      <x:c r="D1" s="4"/>
      <x:c r="E1" s="4"/>
      <x:c r="F1" s="4"/>
    </x:row>
    <x:row r="2" ht="23" customHeight="1">
      <x:c r="A2" s="8" t="str">
        <x:v>Quantitativo mensal | Janeiro a agosto de 2026</x:v>
      </x:c>
      <x:c r="B2" s="8"/>
      <x:c r="C2" s="8"/>
      <x:c r="D2" s="8"/>
      <x:c r="E2" s="8"/>
      <x:c r="F2" s="8"/>
    </x:row>
    <x:row r="4" ht="24" customHeight="1">
      <x:c r="A4" s="15" t="str">
        <x:v>EXONERAÇÕES</x:v>
      </x:c>
      <x:c r="B4" s="16"/>
      <x:c r="C4" s="15" t="str">
        <x:v>DEMISSÕES</x:v>
      </x:c>
      <x:c r="D4" s="16"/>
      <x:c r="E4" s="15" t="str">
        <x:v>TOTAL GERAL</x:v>
      </x:c>
      <x:c r="F4" s="16"/>
    </x:row>
    <x:row r="5" ht="24" customHeight="1">
      <x:c r="A5" s="31" t="n">
        <x:f>B18</x:f>
        <x:v>88</x:v>
      </x:c>
      <x:c r="B5" s="32"/>
      <x:c r="C5" s="31" t="n">
        <x:f>C18</x:f>
        <x:v>252</x:v>
      </x:c>
      <x:c r="D5" s="32"/>
      <x:c r="E5" s="31" t="n">
        <x:f>D18</x:f>
        <x:v>340</x:v>
      </x:c>
      <x:c r="F5" s="32"/>
    </x:row>
    <x:row r="6" ht="24" customHeight="1">
      <x:c r="A6" s="33"/>
      <x:c r="B6" s="34"/>
      <x:c r="C6" s="33"/>
      <x:c r="D6" s="34"/>
      <x:c r="E6" s="33"/>
      <x:c r="F6" s="34"/>
    </x:row>
    <x:row r="9" ht="30" customHeight="1">
      <x:c r="A9" s="45" t="str">
        <x:v>MÊS</x:v>
      </x:c>
      <x:c r="B9" s="46" t="str">
        <x:v>EXONERAÇÕES</x:v>
      </x:c>
      <x:c r="C9" s="46" t="str">
        <x:v>DEMISSÕES</x:v>
      </x:c>
      <x:c r="D9" s="47" t="str">
        <x:v>TOTAL MENSAL</x:v>
      </x:c>
    </x:row>
    <x:row r="10" ht="23" customHeight="1">
      <x:c r="A10" s="58" t="str">
        <x:v>Janeiro</x:v>
      </x:c>
      <x:c r="B10" s="68" t="n">
        <x:v>10</x:v>
      </x:c>
      <x:c r="C10" s="68" t="n">
        <x:v>8</x:v>
      </x:c>
      <x:c r="D10" s="68" t="n">
        <x:f>B10+C10</x:f>
        <x:v>18</x:v>
      </x:c>
    </x:row>
    <x:row r="11" ht="23" customHeight="1">
      <x:c r="A11" s="59" t="str">
        <x:v>Fevereiro</x:v>
      </x:c>
      <x:c r="B11" s="69" t="n">
        <x:v>7</x:v>
      </x:c>
      <x:c r="C11" s="69" t="n">
        <x:v>2</x:v>
      </x:c>
      <x:c r="D11" s="69" t="n">
        <x:f>B11+C11</x:f>
        <x:v>9</x:v>
      </x:c>
    </x:row>
    <x:row r="12" ht="23" customHeight="1">
      <x:c r="A12" s="60" t="str">
        <x:v>Março</x:v>
      </x:c>
      <x:c r="B12" s="70" t="n">
        <x:v>7</x:v>
      </x:c>
      <x:c r="C12" s="70" t="n">
        <x:v>0</x:v>
      </x:c>
      <x:c r="D12" s="70" t="n">
        <x:f>B12+C12</x:f>
        <x:v>7</x:v>
      </x:c>
    </x:row>
    <x:row r="13" ht="23" customHeight="1">
      <x:c r="A13" s="59" t="str">
        <x:v>Abril</x:v>
      </x:c>
      <x:c r="B13" s="69" t="n">
        <x:v>24</x:v>
      </x:c>
      <x:c r="C13" s="69" t="n">
        <x:v>7</x:v>
      </x:c>
      <x:c r="D13" s="69" t="n">
        <x:f>B13+C13</x:f>
        <x:v>31</x:v>
      </x:c>
    </x:row>
    <x:row r="14" ht="23" customHeight="1">
      <x:c r="A14" s="60" t="str">
        <x:v>Maio</x:v>
      </x:c>
      <x:c r="B14" s="70" t="n">
        <x:v>22</x:v>
      </x:c>
      <x:c r="C14" s="70" t="n">
        <x:v>143</x:v>
      </x:c>
      <x:c r="D14" s="70" t="n">
        <x:f>B14+C14</x:f>
        <x:v>165</x:v>
      </x:c>
    </x:row>
    <x:row r="15" ht="23" customHeight="1">
      <x:c r="A15" s="59" t="str">
        <x:v>Junho</x:v>
      </x:c>
      <x:c r="B15" s="69" t="n">
        <x:v>6</x:v>
      </x:c>
      <x:c r="C15" s="69" t="n">
        <x:v>76</x:v>
      </x:c>
      <x:c r="D15" s="69" t="n">
        <x:f>B15+C15</x:f>
        <x:v>82</x:v>
      </x:c>
    </x:row>
    <x:row r="16" ht="23" customHeight="1">
      <x:c r="A16" s="60" t="str">
        <x:v>Julho</x:v>
      </x:c>
      <x:c r="B16" s="70" t="n">
        <x:v>12</x:v>
      </x:c>
      <x:c r="C16" s="70" t="n">
        <x:v>14</x:v>
      </x:c>
      <x:c r="D16" s="70" t="n">
        <x:f>B16+C16</x:f>
        <x:v>26</x:v>
      </x:c>
    </x:row>
    <x:row r="17" ht="23" customHeight="1">
      <x:c r="A17" s="61" t="str">
        <x:v>Agosto</x:v>
      </x:c>
      <x:c r="B17" s="71" t="n">
        <x:v>0</x:v>
      </x:c>
      <x:c r="C17" s="71" t="n">
        <x:v>2</x:v>
      </x:c>
      <x:c r="D17" s="71" t="n">
        <x:f>B17+C17</x:f>
        <x:v>2</x:v>
      </x:c>
    </x:row>
    <x:row r="18" ht="23" customHeight="1">
      <x:c r="A18" s="79" t="str">
        <x:v>TOTAL</x:v>
      </x:c>
      <x:c r="B18" s="80" t="n">
        <x:f>SUM(B10:B17)</x:f>
        <x:v>88</x:v>
      </x:c>
      <x:c r="C18" s="80" t="n">
        <x:f>SUM(C10:C17)</x:f>
        <x:v>252</x:v>
      </x:c>
      <x:c r="D18" s="80" t="n">
        <x:f>SUM(D10:D17)</x:f>
        <x:v>340</x:v>
      </x:c>
    </x:row>
    <x:row r="20">
      <x:c r="A20" s="83" t="str">
        <x:v>Fonte: RELAÇÃO DOS PEDIDOS DE EXONERAÇÃO E DEMISSÃO - 2026 - AGOSTO.pdf</x:v>
      </x:c>
      <x:c r="B20" s="83"/>
      <x:c r="C20" s="83"/>
      <x:c r="D20" s="83"/>
      <x:c r="E20" s="83"/>
      <x:c r="F20" s="83"/>
    </x:row>
    <x:row r="21">
      <x:c r="A21" s="83" t="str">
        <x:v>Critério: contagem dos registros preenchidos por seção; Demissão/Maio possui ORD 01 a 143.</x:v>
      </x:c>
      <x:c r="B21" s="83"/>
      <x:c r="C21" s="83"/>
      <x:c r="D21" s="83"/>
      <x:c r="E21" s="83"/>
      <x:c r="F21" s="83"/>
    </x:row>
  </x:sheetData>
  <x:mergeCells>
    <x:mergeCell ref="A1:F1"/>
    <x:mergeCell ref="A2:F2"/>
    <x:mergeCell ref="A4:B4"/>
    <x:mergeCell ref="A5:B6"/>
    <x:mergeCell ref="C4:D4"/>
    <x:mergeCell ref="C5:D6"/>
    <x:mergeCell ref="E4:F4"/>
    <x:mergeCell ref="E5:F6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35" hidden="0" customWidth="1"/>
    <x:col min="4" max="4" width="2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</x:cols>
  <x:sheetData>
    <x:row r="1" ht="34" customHeight="1">
      <x:c r="A1" s="87" t="str">
        <x:v>JUNTADA DE DADOS - EFETIVO DAS 20 BASES SATÉLITE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3" customHeight="1">
      <x:c r="A2" s="91" t="str">
        <x:v>5ª Fase de Expansão do CPRaio | Síntese Executiva - Propostas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24" customHeight="1">
      <x:c r="A4" s="100" t="str">
        <x:v>BASES</x:v>
      </x:c>
      <x:c r="B4" s="101"/>
      <x:c r="C4" s="100" t="str">
        <x:v>MUNICÍPIOS SATÉLITES</x:v>
      </x:c>
      <x:c r="D4" s="101"/>
      <x:c r="E4" s="100" t="str">
        <x:v>OFICIAIS</x:v>
      </x:c>
      <x:c r="F4" s="101"/>
      <x:c r="G4" s="100" t="str">
        <x:v>PRAÇAS</x:v>
      </x:c>
      <x:c r="H4" s="101"/>
      <x:c r="I4" s="100" t="str">
        <x:v>EFETIVO TOTAL</x:v>
      </x:c>
      <x:c r="J4" s="123"/>
      <x:c r="K4" s="101"/>
    </x:row>
    <x:row r="5" ht="24" customHeight="1">
      <x:c r="A5" s="116" t="n">
        <x:f>COUNTA(B18:B37)</x:f>
        <x:v>20</x:v>
      </x:c>
      <x:c r="B5" s="117"/>
      <x:c r="C5" s="116" t="n">
        <x:f>SUM(E18:E37)</x:f>
        <x:v>31</x:v>
      </x:c>
      <x:c r="D5" s="117"/>
      <x:c r="E5" s="116" t="n">
        <x:f>SUM(F18:F37)</x:f>
        <x:v>20</x:v>
      </x:c>
      <x:c r="F5" s="117"/>
      <x:c r="G5" s="116" t="n">
        <x:f>SUM(G18:G37)</x:f>
        <x:v>892</x:v>
      </x:c>
      <x:c r="H5" s="117"/>
      <x:c r="I5" s="116" t="n">
        <x:f>SUM(K18:K37)</x:f>
        <x:v>912</x:v>
      </x:c>
      <x:c r="J5" s="130"/>
      <x:c r="K5" s="117"/>
    </x:row>
    <x:row r="6" ht="24" customHeight="1">
      <x:c r="A6" s="118"/>
      <x:c r="B6" s="119"/>
      <x:c r="C6" s="118"/>
      <x:c r="D6" s="119"/>
      <x:c r="E6" s="118"/>
      <x:c r="F6" s="119"/>
      <x:c r="G6" s="118"/>
      <x:c r="H6" s="119"/>
      <x:c r="I6" s="118"/>
      <x:c r="J6" s="131"/>
      <x:c r="K6" s="119"/>
    </x:row>
    <x:row r="9" ht="32" customHeight="1">
      <x:c r="A9" s="142" t="str">
        <x:v>MODELO</x:v>
      </x:c>
      <x:c r="B9" s="143" t="str">
        <x:v>BASES</x:v>
      </x:c>
      <x:c r="C9" s="143" t="str">
        <x:v>CID. SATÉLITES</x:v>
      </x:c>
      <x:c r="D9" s="143" t="str">
        <x:v>OFICIAIS</x:v>
      </x:c>
      <x:c r="E9" s="143" t="str">
        <x:v>PRAÇAS</x:v>
      </x:c>
      <x:c r="F9" s="143" t="str">
        <x:v>ADM.</x:v>
      </x:c>
      <x:c r="G9" s="143" t="str">
        <x:v>GUARDA</x:v>
      </x:c>
      <x:c r="H9" s="143" t="str">
        <x:v>OPERAC.</x:v>
      </x:c>
      <x:c r="I9" s="144" t="str">
        <x:v>EFETIVO TOTAL</x:v>
      </x:c>
    </x:row>
    <x:row r="10" ht="23" customHeight="1">
      <x:c r="A10" s="153" t="str">
        <x:v>Polo + 1</x:v>
      </x:c>
      <x:c r="B10" s="159" t="n">
        <x:f>COUNTIF($D$18:$D$37,"Polo + 1 satélite")</x:f>
        <x:v>11</x:v>
      </x:c>
      <x:c r="C10" s="159" t="n">
        <x:f>SUMIF($D$18:$D$37,"Polo + 1 satélite",$E$18:$E$37)</x:f>
        <x:v>11</x:v>
      </x:c>
      <x:c r="D10" s="159" t="n">
        <x:f>SUMIF($D$18:$D$37,"Polo + 1 satélite",$F$18:$F$37)</x:f>
        <x:v>11</x:v>
      </x:c>
      <x:c r="E10" s="159" t="n">
        <x:f>SUMIF($D$18:$D$37,"Polo + 1 satélite",$G$18:$G$37)</x:f>
        <x:v>418</x:v>
      </x:c>
      <x:c r="F10" s="159" t="n">
        <x:f>SUMIF($D$18:$D$37,"Polo + 1 satélite",$H$18:$H$37)</x:f>
        <x:v>22</x:v>
      </x:c>
      <x:c r="G10" s="159" t="n">
        <x:f>SUMIF($D$18:$D$37,"Polo + 1 satélite",$I$18:$I$37)</x:f>
        <x:v>33</x:v>
      </x:c>
      <x:c r="H10" s="159" t="n">
        <x:f>SUMIF($D$18:$D$37,"Polo + 1 satélite",$J$18:$J$37)</x:f>
        <x:v>363</x:v>
      </x:c>
      <x:c r="I10" s="159" t="n">
        <x:f>SUMIF($D$18:$D$37,"Polo + 1 satélite",$K$18:$K$37)</x:f>
        <x:v>429</x:v>
      </x:c>
    </x:row>
    <x:row r="11" ht="23" customHeight="1">
      <x:c r="A11" s="154" t="str">
        <x:v>Polo + 2</x:v>
      </x:c>
      <x:c r="B11" s="160" t="n">
        <x:f>COUNTIF($D$18:$D$37,"Polo + 2 satélites")</x:f>
        <x:v>7</x:v>
      </x:c>
      <x:c r="C11" s="160" t="n">
        <x:f>SUMIF($D$18:$D$37,"Polo + 2 satélites",$E$18:$E$37)</x:f>
        <x:v>14</x:v>
      </x:c>
      <x:c r="D11" s="160" t="n">
        <x:f>SUMIF($D$18:$D$37,"Polo + 2 satélites",$F$18:$F$37)</x:f>
        <x:v>7</x:v>
      </x:c>
      <x:c r="E11" s="160" t="n">
        <x:f>SUMIF($D$18:$D$37,"Polo + 2 satélites",$G$18:$G$37)</x:f>
        <x:v>350</x:v>
      </x:c>
      <x:c r="F11" s="160" t="n">
        <x:f>SUMIF($D$18:$D$37,"Polo + 2 satélites",$H$18:$H$37)</x:f>
        <x:v>21</x:v>
      </x:c>
      <x:c r="G11" s="160" t="n">
        <x:f>SUMIF($D$18:$D$37,"Polo + 2 satélites",$I$18:$I$37)</x:f>
        <x:v>21</x:v>
      </x:c>
      <x:c r="H11" s="160" t="n">
        <x:f>SUMIF($D$18:$D$37,"Polo + 2 satélites",$J$18:$J$37)</x:f>
        <x:v>308</x:v>
      </x:c>
      <x:c r="I11" s="160" t="n">
        <x:f>SUMIF($D$18:$D$37,"Polo + 2 satélites",$K$18:$K$37)</x:f>
        <x:v>357</x:v>
      </x:c>
    </x:row>
    <x:row r="12" ht="23" customHeight="1">
      <x:c r="A12" s="155" t="str">
        <x:v>Polo + 3</x:v>
      </x:c>
      <x:c r="B12" s="161" t="n">
        <x:f>COUNTIF($D$18:$D$37,"Polo + 3 satélites")</x:f>
        <x:v>2</x:v>
      </x:c>
      <x:c r="C12" s="161" t="n">
        <x:f>SUMIF($D$18:$D$37,"Polo + 3 satélites",$E$18:$E$37)</x:f>
        <x:v>6</x:v>
      </x:c>
      <x:c r="D12" s="161" t="n">
        <x:f>SUMIF($D$18:$D$37,"Polo + 3 satélites",$F$18:$F$37)</x:f>
        <x:v>2</x:v>
      </x:c>
      <x:c r="E12" s="161" t="n">
        <x:f>SUMIF($D$18:$D$37,"Polo + 3 satélites",$G$18:$G$37)</x:f>
        <x:v>124</x:v>
      </x:c>
      <x:c r="F12" s="161" t="n">
        <x:f>SUMIF($D$18:$D$37,"Polo + 3 satélites",$H$18:$H$37)</x:f>
        <x:v>6</x:v>
      </x:c>
      <x:c r="G12" s="161" t="n">
        <x:f>SUMIF($D$18:$D$37,"Polo + 3 satélites",$I$18:$I$37)</x:f>
        <x:v>6</x:v>
      </x:c>
      <x:c r="H12" s="161" t="n">
        <x:f>SUMIF($D$18:$D$37,"Polo + 3 satélites",$J$18:$J$37)</x:f>
        <x:v>112</x:v>
      </x:c>
      <x:c r="I12" s="161" t="n">
        <x:f>SUMIF($D$18:$D$37,"Polo + 3 satélites",$K$18:$K$37)</x:f>
        <x:v>126</x:v>
      </x:c>
    </x:row>
    <x:row r="13" ht="23" customHeight="1">
      <x:c r="A13" s="166" t="str">
        <x:v>TOTAL</x:v>
      </x:c>
      <x:c r="B13" s="167" t="n">
        <x:f>SUM(B10:B12)</x:f>
        <x:v>20</x:v>
      </x:c>
      <x:c r="C13" s="167" t="n">
        <x:f>SUM(C10:C12)</x:f>
        <x:v>31</x:v>
      </x:c>
      <x:c r="D13" s="167" t="n">
        <x:f>SUM(D10:D12)</x:f>
        <x:v>20</x:v>
      </x:c>
      <x:c r="E13" s="167" t="n">
        <x:f>SUM(E10:E12)</x:f>
        <x:v>892</x:v>
      </x:c>
      <x:c r="F13" s="167" t="n">
        <x:f>SUM(F10:F12)</x:f>
        <x:v>49</x:v>
      </x:c>
      <x:c r="G13" s="167" t="n">
        <x:f>SUM(G10:G12)</x:f>
        <x:v>60</x:v>
      </x:c>
      <x:c r="H13" s="167" t="n">
        <x:f>SUM(H10:H12)</x:f>
        <x:v>783</x:v>
      </x:c>
      <x:c r="I13" s="167" t="n">
        <x:f>SUM(I10:I12)</x:f>
        <x:v>912</x:v>
      </x:c>
    </x:row>
    <x:row r="16" ht="25" customHeight="1">
      <x:c r="A16" s="170" t="str">
        <x:v>DETALHAMENTO DO EFETIVO POR BASE</x:v>
      </x:c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</x:row>
    <x:row r="17" ht="34" customHeight="1">
      <x:c r="A17" s="142" t="str">
        <x:v>Nº</x:v>
      </x:c>
      <x:c r="B17" s="143" t="str">
        <x:v>POLO / SEDE</x:v>
      </x:c>
      <x:c r="C17" s="143" t="str">
        <x:v>MUNICÍPIO(S) SATÉLITE(S)</x:v>
      </x:c>
      <x:c r="D17" s="143" t="str">
        <x:v>MODELO</x:v>
      </x:c>
      <x:c r="E17" s="143" t="str">
        <x:v>Nº SAT.</x:v>
      </x:c>
      <x:c r="F17" s="143" t="str">
        <x:v>OFICIAIS</x:v>
      </x:c>
      <x:c r="G17" s="143" t="str">
        <x:v>PRAÇAS</x:v>
      </x:c>
      <x:c r="H17" s="143" t="str">
        <x:v>ADM.</x:v>
      </x:c>
      <x:c r="I17" s="143" t="str">
        <x:v>GUARDA</x:v>
      </x:c>
      <x:c r="J17" s="143" t="str">
        <x:v>OPERACIONAL</x:v>
      </x:c>
      <x:c r="K17" s="144" t="str">
        <x:v>EFETIVO TOTAL</x:v>
      </x:c>
    </x:row>
    <x:row r="18" ht="24" customHeight="1">
      <x:c r="A18" s="183" t="n">
        <x:v>1</x:v>
      </x:c>
      <x:c r="B18" s="190" t="str">
        <x:v>Chaval</x:v>
      </x:c>
      <x:c r="C18" s="190" t="str">
        <x:v>Barroquinha</x:v>
      </x:c>
      <x:c r="D18" s="190" t="str">
        <x:v>Polo + 1 satélite</x:v>
      </x:c>
      <x:c r="E18" s="202" t="n">
        <x:v>1</x:v>
      </x:c>
      <x:c r="F18" s="202" t="n">
        <x:v>1</x:v>
      </x:c>
      <x:c r="G18" s="202" t="n">
        <x:v>38</x:v>
      </x:c>
      <x:c r="H18" s="202" t="n">
        <x:v>2</x:v>
      </x:c>
      <x:c r="I18" s="202" t="n">
        <x:v>3</x:v>
      </x:c>
      <x:c r="J18" s="202" t="n">
        <x:v>33</x:v>
      </x:c>
      <x:c r="K18" s="202" t="n">
        <x:f>F18+G18</x:f>
        <x:v>39</x:v>
      </x:c>
    </x:row>
    <x:row r="19" ht="24" customHeight="1">
      <x:c r="A19" s="184" t="n">
        <x:v>2</x:v>
      </x:c>
      <x:c r="B19" s="191" t="str">
        <x:v>Cariús</x:v>
      </x:c>
      <x:c r="C19" s="191" t="str">
        <x:v>Jucás</x:v>
      </x:c>
      <x:c r="D19" s="191" t="str">
        <x:v>Polo + 1 satélite</x:v>
      </x:c>
      <x:c r="E19" s="203" t="n">
        <x:v>1</x:v>
      </x:c>
      <x:c r="F19" s="203" t="n">
        <x:v>1</x:v>
      </x:c>
      <x:c r="G19" s="203" t="n">
        <x:v>38</x:v>
      </x:c>
      <x:c r="H19" s="203" t="n">
        <x:v>2</x:v>
      </x:c>
      <x:c r="I19" s="203" t="n">
        <x:v>3</x:v>
      </x:c>
      <x:c r="J19" s="203" t="n">
        <x:v>33</x:v>
      </x:c>
      <x:c r="K19" s="203" t="n">
        <x:f>F19+G19</x:f>
        <x:v>39</x:v>
      </x:c>
    </x:row>
    <x:row r="20" ht="24" customHeight="1">
      <x:c r="A20" s="185" t="n">
        <x:v>3</x:v>
      </x:c>
      <x:c r="B20" s="192" t="str">
        <x:v>Penaforte</x:v>
      </x:c>
      <x:c r="C20" s="192" t="str">
        <x:v>Jati</x:v>
      </x:c>
      <x:c r="D20" s="192" t="str">
        <x:v>Polo + 1 satélite</x:v>
      </x:c>
      <x:c r="E20" s="204" t="n">
        <x:v>1</x:v>
      </x:c>
      <x:c r="F20" s="204" t="n">
        <x:v>1</x:v>
      </x:c>
      <x:c r="G20" s="204" t="n">
        <x:v>38</x:v>
      </x:c>
      <x:c r="H20" s="204" t="n">
        <x:v>2</x:v>
      </x:c>
      <x:c r="I20" s="204" t="n">
        <x:v>3</x:v>
      </x:c>
      <x:c r="J20" s="204" t="n">
        <x:v>33</x:v>
      </x:c>
      <x:c r="K20" s="204" t="n">
        <x:f>F20+G20</x:f>
        <x:v>39</x:v>
      </x:c>
    </x:row>
    <x:row r="21" ht="24" customHeight="1">
      <x:c r="A21" s="184" t="n">
        <x:v>4</x:v>
      </x:c>
      <x:c r="B21" s="191" t="str">
        <x:v>Palhano</x:v>
      </x:c>
      <x:c r="C21" s="191" t="str">
        <x:v>Itaiçaba</x:v>
      </x:c>
      <x:c r="D21" s="191" t="str">
        <x:v>Polo + 1 satélite</x:v>
      </x:c>
      <x:c r="E21" s="203" t="n">
        <x:v>1</x:v>
      </x:c>
      <x:c r="F21" s="203" t="n">
        <x:v>1</x:v>
      </x:c>
      <x:c r="G21" s="203" t="n">
        <x:v>38</x:v>
      </x:c>
      <x:c r="H21" s="203" t="n">
        <x:v>2</x:v>
      </x:c>
      <x:c r="I21" s="203" t="n">
        <x:v>3</x:v>
      </x:c>
      <x:c r="J21" s="203" t="n">
        <x:v>33</x:v>
      </x:c>
      <x:c r="K21" s="203" t="n">
        <x:f>F21+G21</x:f>
        <x:v>39</x:v>
      </x:c>
    </x:row>
    <x:row r="22" ht="24" customHeight="1">
      <x:c r="A22" s="185" t="n">
        <x:v>5</x:v>
      </x:c>
      <x:c r="B22" s="192" t="str">
        <x:v>São Luís do Curu</x:v>
      </x:c>
      <x:c r="C22" s="192" t="str">
        <x:v>Umirim</x:v>
      </x:c>
      <x:c r="D22" s="192" t="str">
        <x:v>Polo + 1 satélite</x:v>
      </x:c>
      <x:c r="E22" s="204" t="n">
        <x:v>1</x:v>
      </x:c>
      <x:c r="F22" s="204" t="n">
        <x:v>1</x:v>
      </x:c>
      <x:c r="G22" s="204" t="n">
        <x:v>38</x:v>
      </x:c>
      <x:c r="H22" s="204" t="n">
        <x:v>2</x:v>
      </x:c>
      <x:c r="I22" s="204" t="n">
        <x:v>3</x:v>
      </x:c>
      <x:c r="J22" s="204" t="n">
        <x:v>33</x:v>
      </x:c>
      <x:c r="K22" s="204" t="n">
        <x:f>F22+G22</x:f>
        <x:v>39</x:v>
      </x:c>
    </x:row>
    <x:row r="23" ht="24" customHeight="1">
      <x:c r="A23" s="184" t="n">
        <x:v>6</x:v>
      </x:c>
      <x:c r="B23" s="191" t="str">
        <x:v>Capistrano</x:v>
      </x:c>
      <x:c r="C23" s="191" t="str">
        <x:v>Itapiúna</x:v>
      </x:c>
      <x:c r="D23" s="191" t="str">
        <x:v>Polo + 1 satélite</x:v>
      </x:c>
      <x:c r="E23" s="203" t="n">
        <x:v>1</x:v>
      </x:c>
      <x:c r="F23" s="203" t="n">
        <x:v>1</x:v>
      </x:c>
      <x:c r="G23" s="203" t="n">
        <x:v>38</x:v>
      </x:c>
      <x:c r="H23" s="203" t="n">
        <x:v>2</x:v>
      </x:c>
      <x:c r="I23" s="203" t="n">
        <x:v>3</x:v>
      </x:c>
      <x:c r="J23" s="203" t="n">
        <x:v>33</x:v>
      </x:c>
      <x:c r="K23" s="203" t="n">
        <x:f>F23+G23</x:f>
        <x:v>39</x:v>
      </x:c>
    </x:row>
    <x:row r="24" ht="24" customHeight="1">
      <x:c r="A24" s="185" t="n">
        <x:v>7</x:v>
      </x:c>
      <x:c r="B24" s="192" t="str">
        <x:v>Tururu</x:v>
      </x:c>
      <x:c r="C24" s="192" t="str">
        <x:v>Uruburetama</x:v>
      </x:c>
      <x:c r="D24" s="192" t="str">
        <x:v>Polo + 1 satélite</x:v>
      </x:c>
      <x:c r="E24" s="204" t="n">
        <x:v>1</x:v>
      </x:c>
      <x:c r="F24" s="204" t="n">
        <x:v>1</x:v>
      </x:c>
      <x:c r="G24" s="204" t="n">
        <x:v>38</x:v>
      </x:c>
      <x:c r="H24" s="204" t="n">
        <x:v>2</x:v>
      </x:c>
      <x:c r="I24" s="204" t="n">
        <x:v>3</x:v>
      </x:c>
      <x:c r="J24" s="204" t="n">
        <x:v>33</x:v>
      </x:c>
      <x:c r="K24" s="204" t="n">
        <x:f>F24+G24</x:f>
        <x:v>39</x:v>
      </x:c>
    </x:row>
    <x:row r="25" ht="24" customHeight="1">
      <x:c r="A25" s="184" t="n">
        <x:v>8</x:v>
      </x:c>
      <x:c r="B25" s="191" t="str">
        <x:v>Meruoca</x:v>
      </x:c>
      <x:c r="C25" s="191" t="str">
        <x:v>Alcântaras</x:v>
      </x:c>
      <x:c r="D25" s="191" t="str">
        <x:v>Polo + 1 satélite</x:v>
      </x:c>
      <x:c r="E25" s="203" t="n">
        <x:v>1</x:v>
      </x:c>
      <x:c r="F25" s="203" t="n">
        <x:v>1</x:v>
      </x:c>
      <x:c r="G25" s="203" t="n">
        <x:v>38</x:v>
      </x:c>
      <x:c r="H25" s="203" t="n">
        <x:v>2</x:v>
      </x:c>
      <x:c r="I25" s="203" t="n">
        <x:v>3</x:v>
      </x:c>
      <x:c r="J25" s="203" t="n">
        <x:v>33</x:v>
      </x:c>
      <x:c r="K25" s="203" t="n">
        <x:f>F25+G25</x:f>
        <x:v>39</x:v>
      </x:c>
    </x:row>
    <x:row r="26" ht="24" customHeight="1">
      <x:c r="A26" s="185" t="n">
        <x:v>9</x:v>
      </x:c>
      <x:c r="B26" s="192" t="str">
        <x:v>Aratuba</x:v>
      </x:c>
      <x:c r="C26" s="192" t="str">
        <x:v>Mulungu</x:v>
      </x:c>
      <x:c r="D26" s="192" t="str">
        <x:v>Polo + 1 satélite</x:v>
      </x:c>
      <x:c r="E26" s="204" t="n">
        <x:v>1</x:v>
      </x:c>
      <x:c r="F26" s="204" t="n">
        <x:v>1</x:v>
      </x:c>
      <x:c r="G26" s="204" t="n">
        <x:v>38</x:v>
      </x:c>
      <x:c r="H26" s="204" t="n">
        <x:v>2</x:v>
      </x:c>
      <x:c r="I26" s="204" t="n">
        <x:v>3</x:v>
      </x:c>
      <x:c r="J26" s="204" t="n">
        <x:v>33</x:v>
      </x:c>
      <x:c r="K26" s="204" t="n">
        <x:f>F26+G26</x:f>
        <x:v>39</x:v>
      </x:c>
    </x:row>
    <x:row r="27" ht="24" customHeight="1">
      <x:c r="A27" s="184" t="n">
        <x:v>10</x:v>
      </x:c>
      <x:c r="B27" s="191" t="str">
        <x:v>Iracema</x:v>
      </x:c>
      <x:c r="C27" s="191" t="str">
        <x:v>Ererê</x:v>
      </x:c>
      <x:c r="D27" s="191" t="str">
        <x:v>Polo + 1 satélite</x:v>
      </x:c>
      <x:c r="E27" s="203" t="n">
        <x:v>1</x:v>
      </x:c>
      <x:c r="F27" s="203" t="n">
        <x:v>1</x:v>
      </x:c>
      <x:c r="G27" s="203" t="n">
        <x:v>38</x:v>
      </x:c>
      <x:c r="H27" s="203" t="n">
        <x:v>2</x:v>
      </x:c>
      <x:c r="I27" s="203" t="n">
        <x:v>3</x:v>
      </x:c>
      <x:c r="J27" s="203" t="n">
        <x:v>33</x:v>
      </x:c>
      <x:c r="K27" s="203" t="n">
        <x:f>F27+G27</x:f>
        <x:v>39</x:v>
      </x:c>
    </x:row>
    <x:row r="28" ht="24" customHeight="1">
      <x:c r="A28" s="185" t="n">
        <x:v>11</x:v>
      </x:c>
      <x:c r="B28" s="192" t="str">
        <x:v>Alto Santo</x:v>
      </x:c>
      <x:c r="C28" s="192" t="str">
        <x:v>Potiretama</x:v>
      </x:c>
      <x:c r="D28" s="192" t="str">
        <x:v>Polo + 1 satélite</x:v>
      </x:c>
      <x:c r="E28" s="204" t="n">
        <x:v>1</x:v>
      </x:c>
      <x:c r="F28" s="204" t="n">
        <x:v>1</x:v>
      </x:c>
      <x:c r="G28" s="204" t="n">
        <x:v>38</x:v>
      </x:c>
      <x:c r="H28" s="204" t="n">
        <x:v>2</x:v>
      </x:c>
      <x:c r="I28" s="204" t="n">
        <x:v>3</x:v>
      </x:c>
      <x:c r="J28" s="204" t="n">
        <x:v>33</x:v>
      </x:c>
      <x:c r="K28" s="204" t="n">
        <x:f>F28+G28</x:f>
        <x:v>39</x:v>
      </x:c>
    </x:row>
    <x:row r="29" ht="24" customHeight="1">
      <x:c r="A29" s="186" t="n">
        <x:v>12</x:v>
      </x:c>
      <x:c r="B29" s="193" t="str">
        <x:v>Nova Olinda</x:v>
      </x:c>
      <x:c r="C29" s="193" t="str">
        <x:v>Santana do Cariri; Altaneira</x:v>
      </x:c>
      <x:c r="D29" s="193" t="str">
        <x:v>Polo + 2 satélites</x:v>
      </x:c>
      <x:c r="E29" s="205" t="n">
        <x:v>2</x:v>
      </x:c>
      <x:c r="F29" s="205" t="n">
        <x:v>1</x:v>
      </x:c>
      <x:c r="G29" s="205" t="n">
        <x:v>50</x:v>
      </x:c>
      <x:c r="H29" s="205" t="n">
        <x:v>3</x:v>
      </x:c>
      <x:c r="I29" s="205" t="n">
        <x:v>3</x:v>
      </x:c>
      <x:c r="J29" s="205" t="n">
        <x:v>44</x:v>
      </x:c>
      <x:c r="K29" s="205" t="n">
        <x:f>F29+G29</x:f>
        <x:v>51</x:v>
      </x:c>
    </x:row>
    <x:row r="30" ht="24" customHeight="1">
      <x:c r="A30" s="186" t="n">
        <x:v>13</x:v>
      </x:c>
      <x:c r="B30" s="193" t="str">
        <x:v>Mucambo</x:v>
      </x:c>
      <x:c r="C30" s="193" t="str">
        <x:v>Pacujá; Graça</x:v>
      </x:c>
      <x:c r="D30" s="193" t="str">
        <x:v>Polo + 2 satélites</x:v>
      </x:c>
      <x:c r="E30" s="205" t="n">
        <x:v>2</x:v>
      </x:c>
      <x:c r="F30" s="205" t="n">
        <x:v>1</x:v>
      </x:c>
      <x:c r="G30" s="205" t="n">
        <x:v>50</x:v>
      </x:c>
      <x:c r="H30" s="205" t="n">
        <x:v>3</x:v>
      </x:c>
      <x:c r="I30" s="205" t="n">
        <x:v>3</x:v>
      </x:c>
      <x:c r="J30" s="205" t="n">
        <x:v>44</x:v>
      </x:c>
      <x:c r="K30" s="205" t="n">
        <x:f>F30+G30</x:f>
        <x:v>51</x:v>
      </x:c>
    </x:row>
    <x:row r="31" ht="24" customHeight="1">
      <x:c r="A31" s="186" t="n">
        <x:v>14</x:v>
      </x:c>
      <x:c r="B31" s="193" t="str">
        <x:v>Ararendá</x:v>
      </x:c>
      <x:c r="C31" s="193" t="str">
        <x:v>Poranga; Ipaporanga</x:v>
      </x:c>
      <x:c r="D31" s="193" t="str">
        <x:v>Polo + 2 satélites</x:v>
      </x:c>
      <x:c r="E31" s="205" t="n">
        <x:v>2</x:v>
      </x:c>
      <x:c r="F31" s="205" t="n">
        <x:v>1</x:v>
      </x:c>
      <x:c r="G31" s="205" t="n">
        <x:v>50</x:v>
      </x:c>
      <x:c r="H31" s="205" t="n">
        <x:v>3</x:v>
      </x:c>
      <x:c r="I31" s="205" t="n">
        <x:v>3</x:v>
      </x:c>
      <x:c r="J31" s="205" t="n">
        <x:v>44</x:v>
      </x:c>
      <x:c r="K31" s="205" t="n">
        <x:f>F31+G31</x:f>
        <x:v>51</x:v>
      </x:c>
    </x:row>
    <x:row r="32" ht="24" customHeight="1">
      <x:c r="A32" s="186" t="n">
        <x:v>15</x:v>
      </x:c>
      <x:c r="B32" s="193" t="str">
        <x:v>Milhã</x:v>
      </x:c>
      <x:c r="C32" s="193" t="str">
        <x:v>Solonópole; Deputado Irapuan Pinheiro</x:v>
      </x:c>
      <x:c r="D32" s="193" t="str">
        <x:v>Polo + 2 satélites</x:v>
      </x:c>
      <x:c r="E32" s="205" t="n">
        <x:v>2</x:v>
      </x:c>
      <x:c r="F32" s="205" t="n">
        <x:v>1</x:v>
      </x:c>
      <x:c r="G32" s="205" t="n">
        <x:v>50</x:v>
      </x:c>
      <x:c r="H32" s="205" t="n">
        <x:v>3</x:v>
      </x:c>
      <x:c r="I32" s="205" t="n">
        <x:v>3</x:v>
      </x:c>
      <x:c r="J32" s="205" t="n">
        <x:v>44</x:v>
      </x:c>
      <x:c r="K32" s="205" t="n">
        <x:f>F32+G32</x:f>
        <x:v>51</x:v>
      </x:c>
    </x:row>
    <x:row r="33" ht="24" customHeight="1">
      <x:c r="A33" s="186" t="n">
        <x:v>16</x:v>
      </x:c>
      <x:c r="B33" s="193" t="str">
        <x:v>Baixio</x:v>
      </x:c>
      <x:c r="C33" s="193" t="str">
        <x:v>Umari; Ipaumirim</x:v>
      </x:c>
      <x:c r="D33" s="193" t="str">
        <x:v>Polo + 2 satélites</x:v>
      </x:c>
      <x:c r="E33" s="205" t="n">
        <x:v>2</x:v>
      </x:c>
      <x:c r="F33" s="205" t="n">
        <x:v>1</x:v>
      </x:c>
      <x:c r="G33" s="205" t="n">
        <x:v>50</x:v>
      </x:c>
      <x:c r="H33" s="205" t="n">
        <x:v>3</x:v>
      </x:c>
      <x:c r="I33" s="205" t="n">
        <x:v>3</x:v>
      </x:c>
      <x:c r="J33" s="205" t="n">
        <x:v>44</x:v>
      </x:c>
      <x:c r="K33" s="205" t="n">
        <x:f>F33+G33</x:f>
        <x:v>51</x:v>
      </x:c>
    </x:row>
    <x:row r="34" ht="24" customHeight="1">
      <x:c r="A34" s="186" t="n">
        <x:v>17</x:v>
      </x:c>
      <x:c r="B34" s="193" t="str">
        <x:v>Assaré</x:v>
      </x:c>
      <x:c r="C34" s="193" t="str">
        <x:v>Antonina do Norte; Tarrafas</x:v>
      </x:c>
      <x:c r="D34" s="193" t="str">
        <x:v>Polo + 2 satélites</x:v>
      </x:c>
      <x:c r="E34" s="205" t="n">
        <x:v>2</x:v>
      </x:c>
      <x:c r="F34" s="205" t="n">
        <x:v>1</x:v>
      </x:c>
      <x:c r="G34" s="205" t="n">
        <x:v>50</x:v>
      </x:c>
      <x:c r="H34" s="205" t="n">
        <x:v>3</x:v>
      </x:c>
      <x:c r="I34" s="205" t="n">
        <x:v>3</x:v>
      </x:c>
      <x:c r="J34" s="205" t="n">
        <x:v>44</x:v>
      </x:c>
      <x:c r="K34" s="205" t="n">
        <x:f>F34+G34</x:f>
        <x:v>51</x:v>
      </x:c>
    </x:row>
    <x:row r="35" ht="24" customHeight="1">
      <x:c r="A35" s="186" t="n">
        <x:v>18</x:v>
      </x:c>
      <x:c r="B35" s="193" t="str">
        <x:v>Guaramiranga</x:v>
      </x:c>
      <x:c r="C35" s="193" t="str">
        <x:v>Palmácia; Pacoti</x:v>
      </x:c>
      <x:c r="D35" s="193" t="str">
        <x:v>Polo + 2 satélites</x:v>
      </x:c>
      <x:c r="E35" s="205" t="n">
        <x:v>2</x:v>
      </x:c>
      <x:c r="F35" s="205" t="n">
        <x:v>1</x:v>
      </x:c>
      <x:c r="G35" s="205" t="n">
        <x:v>50</x:v>
      </x:c>
      <x:c r="H35" s="205" t="n">
        <x:v>3</x:v>
      </x:c>
      <x:c r="I35" s="205" t="n">
        <x:v>3</x:v>
      </x:c>
      <x:c r="J35" s="205" t="n">
        <x:v>44</x:v>
      </x:c>
      <x:c r="K35" s="205" t="n">
        <x:f>F35+G35</x:f>
        <x:v>51</x:v>
      </x:c>
    </x:row>
    <x:row r="36" ht="24" customHeight="1">
      <x:c r="A36" s="187" t="n">
        <x:v>19</x:v>
      </x:c>
      <x:c r="B36" s="194" t="str">
        <x:v>Cariré</x:v>
      </x:c>
      <x:c r="C36" s="194" t="str">
        <x:v>Groaíras; Varjota; Reriutaba</x:v>
      </x:c>
      <x:c r="D36" s="194" t="str">
        <x:v>Polo + 3 satélites</x:v>
      </x:c>
      <x:c r="E36" s="206" t="n">
        <x:v>3</x:v>
      </x:c>
      <x:c r="F36" s="206" t="n">
        <x:v>1</x:v>
      </x:c>
      <x:c r="G36" s="206" t="n">
        <x:v>62</x:v>
      </x:c>
      <x:c r="H36" s="206" t="n">
        <x:v>3</x:v>
      </x:c>
      <x:c r="I36" s="206" t="n">
        <x:v>3</x:v>
      </x:c>
      <x:c r="J36" s="206" t="n">
        <x:v>56</x:v>
      </x:c>
      <x:c r="K36" s="206" t="n">
        <x:f>F36+G36</x:f>
        <x:v>63</x:v>
      </x:c>
    </x:row>
    <x:row r="37" ht="24" customHeight="1">
      <x:c r="A37" s="188" t="n">
        <x:v>20</x:v>
      </x:c>
      <x:c r="B37" s="195" t="str">
        <x:v>General Sampaio</x:v>
      </x:c>
      <x:c r="C37" s="195" t="str">
        <x:v>Tejuçuoca; Apuiarés; Paramoti</x:v>
      </x:c>
      <x:c r="D37" s="195" t="str">
        <x:v>Polo + 3 satélites</x:v>
      </x:c>
      <x:c r="E37" s="207" t="n">
        <x:v>3</x:v>
      </x:c>
      <x:c r="F37" s="207" t="n">
        <x:v>1</x:v>
      </x:c>
      <x:c r="G37" s="207" t="n">
        <x:v>62</x:v>
      </x:c>
      <x:c r="H37" s="207" t="n">
        <x:v>3</x:v>
      </x:c>
      <x:c r="I37" s="207" t="n">
        <x:v>3</x:v>
      </x:c>
      <x:c r="J37" s="207" t="n">
        <x:v>56</x:v>
      </x:c>
      <x:c r="K37" s="207" t="n">
        <x:f>F37+G37</x:f>
        <x:v>63</x:v>
      </x:c>
    </x:row>
    <x:row r="38" ht="24" customHeight="1">
      <x:c r="A38" s="213" t="str">
        <x:v>TOTAL GERAL</x:v>
      </x:c>
      <x:c r="B38" s="213"/>
      <x:c r="C38" s="213"/>
      <x:c r="D38" s="213"/>
      <x:c r="E38" s="214" t="n">
        <x:f>SUM(E18:E37)</x:f>
        <x:v>31</x:v>
      </x:c>
      <x:c r="F38" s="214" t="n">
        <x:f>SUM(F18:F37)</x:f>
        <x:v>20</x:v>
      </x:c>
      <x:c r="G38" s="214" t="n">
        <x:f>SUM(G18:G37)</x:f>
        <x:v>892</x:v>
      </x:c>
      <x:c r="H38" s="214" t="n">
        <x:f>SUM(H18:H37)</x:f>
        <x:v>49</x:v>
      </x:c>
      <x:c r="I38" s="214" t="n">
        <x:f>SUM(I18:I37)</x:f>
        <x:v>60</x:v>
      </x:c>
      <x:c r="J38" s="214" t="n">
        <x:f>SUM(J18:J37)</x:f>
        <x:v>783</x:v>
      </x:c>
      <x:c r="K38" s="214" t="n">
        <x:f>SUM(K18:K37)</x:f>
        <x:v>912</x:v>
      </x:c>
    </x:row>
    <x:row r="40">
      <x:c r="A40" s="217" t="str">
        <x:v>Fonte: https://www.canva.com/design/DAHOsnrGLJM/nedjVZa77724WcJHpYfIBA/view | Slides 13 a 19</x:v>
      </x:c>
      <x:c r="B40" s="217"/>
      <x:c r="C40" s="217"/>
      <x:c r="D40" s="217"/>
      <x:c r="E40" s="217"/>
      <x:c r="F40" s="217"/>
      <x:c r="G40" s="217"/>
      <x:c r="H40" s="217"/>
      <x:c r="I40" s="217"/>
      <x:c r="J40" s="217"/>
      <x:c r="K40" s="217"/>
    </x:row>
    <x:row r="41">
      <x:c r="A41" s="217" t="str">
        <x:v>Critério: efetivo total = oficiais + praças; distribuição administrativa, guarda e operacional conforme a matriz de cada modelo.</x:v>
      </x:c>
      <x:c r="B41" s="217"/>
      <x:c r="C41" s="217"/>
      <x:c r="D41" s="217"/>
      <x:c r="E41" s="217"/>
      <x:c r="F41" s="217"/>
      <x:c r="G41" s="217"/>
      <x:c r="H41" s="217"/>
      <x:c r="I41" s="217"/>
      <x:c r="J41" s="217"/>
      <x:c r="K41" s="217"/>
    </x:row>
  </x:sheetData>
  <x:mergeCells>
    <x:mergeCell ref="A1:K1"/>
    <x:mergeCell ref="A2:K2"/>
    <x:mergeCell ref="A4:B4"/>
    <x:mergeCell ref="A5:B6"/>
    <x:mergeCell ref="C4:D4"/>
    <x:mergeCell ref="C5:D6"/>
    <x:mergeCell ref="E4:F4"/>
    <x:mergeCell ref="E5:F6"/>
    <x:mergeCell ref="G4:H4"/>
    <x:mergeCell ref="G5:H6"/>
    <x:mergeCell ref="I4:K4"/>
    <x:mergeCell ref="I5:K6"/>
    <x:mergeCell ref="A16:K16"/>
    <x:mergeCell ref="A40:K40"/>
    <x:mergeCell ref="A41:K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9" hidden="0" customWidth="1"/>
    <x:col min="8" max="8" width="10" hidden="0" customWidth="1"/>
    <x:col min="9" max="9" width="13" hidden="0" customWidth="1"/>
    <x:col min="10" max="10" width="13" hidden="0" customWidth="1"/>
  </x:cols>
  <x:sheetData>
    <x:row r="1" ht="34" customHeight="1">
      <x:c r="A1" s="221" t="str">
        <x:v>JUNTADA DE DADOS - DÉFICIT DE EFETIVO POR BATALHÃO</x:v>
      </x:c>
      <x:c r="B1" s="221"/>
      <x:c r="C1" s="221"/>
      <x:c r="D1" s="221"/>
      <x:c r="E1" s="221"/>
      <x:c r="F1" s="221"/>
      <x:c r="G1" s="221"/>
      <x:c r="H1" s="221"/>
      <x:c r="I1" s="221"/>
      <x:c r="J1" s="221"/>
    </x:row>
    <x:row r="2" ht="23" customHeight="1">
      <x:c r="A2" s="225" t="str">
        <x:v>Movimentações de 2026 | Entradas, saídas, saldo líquido e déficit dos 34 BPM</x:v>
      </x:c>
      <x:c r="B2" s="225"/>
      <x:c r="C2" s="225"/>
      <x:c r="D2" s="225"/>
      <x:c r="E2" s="225"/>
      <x:c r="F2" s="225"/>
      <x:c r="G2" s="225"/>
      <x:c r="H2" s="225"/>
      <x:c r="I2" s="225"/>
      <x:c r="J2" s="225"/>
    </x:row>
    <x:row r="4" ht="24" customHeight="1">
      <x:c r="A4" s="234" t="str">
        <x:v>BATALHÕES ANALISADOS</x:v>
      </x:c>
      <x:c r="B4" s="235"/>
      <x:c r="C4" s="234" t="str">
        <x:v>ENTRADAS</x:v>
      </x:c>
      <x:c r="D4" s="235"/>
      <x:c r="E4" s="234" t="str">
        <x:v>SAÍDAS</x:v>
      </x:c>
      <x:c r="F4" s="235"/>
      <x:c r="G4" s="234" t="str">
        <x:v>SALDO LÍQUIDO</x:v>
      </x:c>
      <x:c r="H4" s="235"/>
      <x:c r="I4" s="234" t="str">
        <x:v>DÉFICIT ACUMULADO</x:v>
      </x:c>
      <x:c r="J4" s="235"/>
    </x:row>
    <x:row r="5" ht="24" customHeight="1">
      <x:c r="A5" s="254" t="n">
        <x:f>COUNTA(B11:B44)</x:f>
        <x:v>34</x:v>
      </x:c>
      <x:c r="B5" s="255"/>
      <x:c r="C5" s="254" t="n">
        <x:f>C45</x:f>
        <x:v>235</x:v>
      </x:c>
      <x:c r="D5" s="255"/>
      <x:c r="E5" s="254" t="n">
        <x:f>D45</x:f>
        <x:v>337</x:v>
      </x:c>
      <x:c r="F5" s="255"/>
      <x:c r="G5" s="250" t="n">
        <x:f>E45</x:f>
        <x:v>-102</x:v>
      </x:c>
      <x:c r="H5" s="251"/>
      <x:c r="I5" s="254" t="n">
        <x:f>F45</x:f>
        <x:v>146</x:v>
      </x:c>
      <x:c r="J5" s="255"/>
    </x:row>
    <x:row r="6" ht="24" customHeight="1">
      <x:c r="A6" s="256"/>
      <x:c r="B6" s="257"/>
      <x:c r="C6" s="256"/>
      <x:c r="D6" s="257"/>
      <x:c r="E6" s="256"/>
      <x:c r="F6" s="257"/>
      <x:c r="G6" s="252"/>
      <x:c r="H6" s="253"/>
      <x:c r="I6" s="256"/>
      <x:c r="J6" s="257"/>
    </x:row>
    <x:row r="8" ht="24" customHeight="1">
      <x:c r="A8" s="266" t="str">
        <x:f>COUNTIF(F11:F44,"&gt;0")&amp;" BPM com déficit  |  "&amp;COUNTIF(E11:E44,0)&amp;" em equilíbrio  |  "&amp;COUNTIF(E11:E44,"&gt;0")&amp;" com ganho líquido"</x:f>
        <x:v>21 BPM com déficit  |  1 em equilíbrio  |  12 com ganho líquido</x:v>
      </x:c>
      <x:c r="B8" s="267"/>
      <x:c r="C8" s="267"/>
      <x:c r="D8" s="267"/>
      <x:c r="E8" s="267"/>
      <x:c r="F8" s="267"/>
      <x:c r="G8" s="267"/>
      <x:c r="H8" s="267"/>
      <x:c r="I8" s="267"/>
      <x:c r="J8" s="268"/>
    </x:row>
    <x:row r="10" ht="31" customHeight="1">
      <x:c r="A10" s="279" t="str">
        <x:v>POSIÇÃO</x:v>
      </x:c>
      <x:c r="B10" s="280" t="str">
        <x:v>BATALHÃO</x:v>
      </x:c>
      <x:c r="C10" s="280" t="str">
        <x:v>ENTRADAS</x:v>
      </x:c>
      <x:c r="D10" s="280" t="str">
        <x:v>SAÍDAS</x:v>
      </x:c>
      <x:c r="E10" s="280" t="str">
        <x:v>SALDO LÍQUIDO</x:v>
      </x:c>
      <x:c r="F10" s="280" t="str">
        <x:v>DÉFICIT</x:v>
      </x:c>
      <x:c r="G10" s="281" t="str">
        <x:v>SITUAÇÃO</x:v>
      </x:c>
    </x:row>
    <x:row r="11" ht="22" customHeight="1">
      <x:c r="A11" s="287" t="n">
        <x:v>1</x:v>
      </x:c>
      <x:c r="B11" s="153" t="str">
        <x:v>8ºBPM</x:v>
      </x:c>
      <x:c r="C11" s="159" t="n">
        <x:v>3</x:v>
      </x:c>
      <x:c r="D11" s="159" t="n">
        <x:v>16</x:v>
      </x:c>
      <x:c r="E11" s="297" t="n">
        <x:f>C11-D11</x:f>
        <x:v>-13</x:v>
      </x:c>
      <x:c r="F11" s="159" t="n">
        <x:f>MAX(D11-C11,0)</x:f>
        <x:v>13</x:v>
      </x:c>
      <x:c r="G11" s="287" t="str">
        <x:f>IF(E11&lt;0,"DÉFICIT",IF(E11&gt;0,"GANHO LÍQUIDO","EQUILÍBRIO"))</x:f>
        <x:v>DÉFICIT</x:v>
      </x:c>
    </x:row>
    <x:row r="12" ht="22" customHeight="1">
      <x:c r="A12" s="288" t="n">
        <x:v>2</x:v>
      </x:c>
      <x:c r="B12" s="284" t="str">
        <x:v>3ºBPM</x:v>
      </x:c>
      <x:c r="C12" s="294" t="n">
        <x:v>9</x:v>
      </x:c>
      <x:c r="D12" s="294" t="n">
        <x:v>21</x:v>
      </x:c>
      <x:c r="E12" s="298" t="n">
        <x:f>C12-D12</x:f>
        <x:v>-12</x:v>
      </x:c>
      <x:c r="F12" s="294" t="n">
        <x:f>MAX(D12-C12,0)</x:f>
        <x:v>12</x:v>
      </x:c>
      <x:c r="G12" s="288" t="str">
        <x:f>IF(E12&lt;0,"DÉFICIT",IF(E12&gt;0,"GANHO LÍQUIDO","EQUILÍBRIO"))</x:f>
        <x:v>DÉFICIT</x:v>
      </x:c>
    </x:row>
    <x:row r="13" ht="22" customHeight="1">
      <x:c r="A13" s="289" t="n">
        <x:v>3</x:v>
      </x:c>
      <x:c r="B13" s="285" t="str">
        <x:v>17ºBPM</x:v>
      </x:c>
      <x:c r="C13" s="295" t="n">
        <x:v>3</x:v>
      </x:c>
      <x:c r="D13" s="295" t="n">
        <x:v>15</x:v>
      </x:c>
      <x:c r="E13" s="299" t="n">
        <x:f>C13-D13</x:f>
        <x:v>-12</x:v>
      </x:c>
      <x:c r="F13" s="295" t="n">
        <x:f>MAX(D13-C13,0)</x:f>
        <x:v>12</x:v>
      </x:c>
      <x:c r="G13" s="289" t="str">
        <x:f>IF(E13&lt;0,"DÉFICIT",IF(E13&gt;0,"GANHO LÍQUIDO","EQUILÍBRIO"))</x:f>
        <x:v>DÉFICIT</x:v>
      </x:c>
    </x:row>
    <x:row r="14" ht="22" customHeight="1">
      <x:c r="A14" s="288" t="n">
        <x:v>4</x:v>
      </x:c>
      <x:c r="B14" s="284" t="str">
        <x:v>12ºBPM</x:v>
      </x:c>
      <x:c r="C14" s="294" t="n">
        <x:v>6</x:v>
      </x:c>
      <x:c r="D14" s="294" t="n">
        <x:v>17</x:v>
      </x:c>
      <x:c r="E14" s="298" t="n">
        <x:f>C14-D14</x:f>
        <x:v>-11</x:v>
      </x:c>
      <x:c r="F14" s="294" t="n">
        <x:f>MAX(D14-C14,0)</x:f>
        <x:v>11</x:v>
      </x:c>
      <x:c r="G14" s="288" t="str">
        <x:f>IF(E14&lt;0,"DÉFICIT",IF(E14&gt;0,"GANHO LÍQUIDO","EQUILÍBRIO"))</x:f>
        <x:v>DÉFICIT</x:v>
      </x:c>
    </x:row>
    <x:row r="15" ht="22" customHeight="1">
      <x:c r="A15" s="289" t="n">
        <x:v>5</x:v>
      </x:c>
      <x:c r="B15" s="285" t="str">
        <x:v>14ºBPM</x:v>
      </x:c>
      <x:c r="C15" s="295" t="n">
        <x:v>2</x:v>
      </x:c>
      <x:c r="D15" s="295" t="n">
        <x:v>12</x:v>
      </x:c>
      <x:c r="E15" s="299" t="n">
        <x:f>C15-D15</x:f>
        <x:v>-10</x:v>
      </x:c>
      <x:c r="F15" s="295" t="n">
        <x:f>MAX(D15-C15,0)</x:f>
        <x:v>10</x:v>
      </x:c>
      <x:c r="G15" s="289" t="str">
        <x:f>IF(E15&lt;0,"DÉFICIT",IF(E15&gt;0,"GANHO LÍQUIDO","EQUILÍBRIO"))</x:f>
        <x:v>DÉFICIT</x:v>
      </x:c>
    </x:row>
    <x:row r="16" ht="22" customHeight="1">
      <x:c r="A16" s="288" t="n">
        <x:v>6</x:v>
      </x:c>
      <x:c r="B16" s="284" t="str">
        <x:v>18ºBPM</x:v>
      </x:c>
      <x:c r="C16" s="294" t="n">
        <x:v>15</x:v>
      </x:c>
      <x:c r="D16" s="294" t="n">
        <x:v>25</x:v>
      </x:c>
      <x:c r="E16" s="298" t="n">
        <x:f>C16-D16</x:f>
        <x:v>-10</x:v>
      </x:c>
      <x:c r="F16" s="294" t="n">
        <x:f>MAX(D16-C16,0)</x:f>
        <x:v>10</x:v>
      </x:c>
      <x:c r="G16" s="288" t="str">
        <x:f>IF(E16&lt;0,"DÉFICIT",IF(E16&gt;0,"GANHO LÍQUIDO","EQUILÍBRIO"))</x:f>
        <x:v>DÉFICIT</x:v>
      </x:c>
    </x:row>
    <x:row r="17" ht="22" customHeight="1">
      <x:c r="A17" s="289" t="n">
        <x:v>7</x:v>
      </x:c>
      <x:c r="B17" s="285" t="str">
        <x:v>20ºBPM</x:v>
      </x:c>
      <x:c r="C17" s="295" t="n">
        <x:v>12</x:v>
      </x:c>
      <x:c r="D17" s="295" t="n">
        <x:v>21</x:v>
      </x:c>
      <x:c r="E17" s="299" t="n">
        <x:f>C17-D17</x:f>
        <x:v>-9</x:v>
      </x:c>
      <x:c r="F17" s="295" t="n">
        <x:f>MAX(D17-C17,0)</x:f>
        <x:v>9</x:v>
      </x:c>
      <x:c r="G17" s="289" t="str">
        <x:f>IF(E17&lt;0,"DÉFICIT",IF(E17&gt;0,"GANHO LÍQUIDO","EQUILÍBRIO"))</x:f>
        <x:v>DÉFICIT</x:v>
      </x:c>
    </x:row>
    <x:row r="18" ht="22" customHeight="1">
      <x:c r="A18" s="288" t="n">
        <x:v>8</x:v>
      </x:c>
      <x:c r="B18" s="284" t="str">
        <x:v>16ºBPM</x:v>
      </x:c>
      <x:c r="C18" s="294" t="n">
        <x:v>13</x:v>
      </x:c>
      <x:c r="D18" s="294" t="n">
        <x:v>21</x:v>
      </x:c>
      <x:c r="E18" s="298" t="n">
        <x:f>C18-D18</x:f>
        <x:v>-8</x:v>
      </x:c>
      <x:c r="F18" s="294" t="n">
        <x:f>MAX(D18-C18,0)</x:f>
        <x:v>8</x:v>
      </x:c>
      <x:c r="G18" s="288" t="str">
        <x:f>IF(E18&lt;0,"DÉFICIT",IF(E18&gt;0,"GANHO LÍQUIDO","EQUILÍBRIO"))</x:f>
        <x:v>DÉFICIT</x:v>
      </x:c>
    </x:row>
    <x:row r="19" ht="22" customHeight="1">
      <x:c r="A19" s="289" t="n">
        <x:v>9</x:v>
      </x:c>
      <x:c r="B19" s="285" t="str">
        <x:v>23ºBPM</x:v>
      </x:c>
      <x:c r="C19" s="295" t="n">
        <x:v>5</x:v>
      </x:c>
      <x:c r="D19" s="295" t="n">
        <x:v>12</x:v>
      </x:c>
      <x:c r="E19" s="299" t="n">
        <x:f>C19-D19</x:f>
        <x:v>-7</x:v>
      </x:c>
      <x:c r="F19" s="295" t="n">
        <x:f>MAX(D19-C19,0)</x:f>
        <x:v>7</x:v>
      </x:c>
      <x:c r="G19" s="289" t="str">
        <x:f>IF(E19&lt;0,"DÉFICIT",IF(E19&gt;0,"GANHO LÍQUIDO","EQUILÍBRIO"))</x:f>
        <x:v>DÉFICIT</x:v>
      </x:c>
    </x:row>
    <x:row r="20" ht="22" customHeight="1">
      <x:c r="A20" s="288" t="n">
        <x:v>10</x:v>
      </x:c>
      <x:c r="B20" s="284" t="str">
        <x:v>9ºBPM</x:v>
      </x:c>
      <x:c r="C20" s="294" t="n">
        <x:v>2</x:v>
      </x:c>
      <x:c r="D20" s="294" t="n">
        <x:v>8</x:v>
      </x:c>
      <x:c r="E20" s="298" t="n">
        <x:f>C20-D20</x:f>
        <x:v>-6</x:v>
      </x:c>
      <x:c r="F20" s="294" t="n">
        <x:f>MAX(D20-C20,0)</x:f>
        <x:v>6</x:v>
      </x:c>
      <x:c r="G20" s="288" t="str">
        <x:f>IF(E20&lt;0,"DÉFICIT",IF(E20&gt;0,"GANHO LÍQUIDO","EQUILÍBRIO"))</x:f>
        <x:v>DÉFICIT</x:v>
      </x:c>
    </x:row>
    <x:row r="21" ht="22" customHeight="1">
      <x:c r="A21" s="289" t="n">
        <x:v>11</x:v>
      </x:c>
      <x:c r="B21" s="285" t="str">
        <x:v>11ºBPM</x:v>
      </x:c>
      <x:c r="C21" s="295" t="n">
        <x:v>6</x:v>
      </x:c>
      <x:c r="D21" s="295" t="n">
        <x:v>12</x:v>
      </x:c>
      <x:c r="E21" s="299" t="n">
        <x:f>C21-D21</x:f>
        <x:v>-6</x:v>
      </x:c>
      <x:c r="F21" s="295" t="n">
        <x:f>MAX(D21-C21,0)</x:f>
        <x:v>6</x:v>
      </x:c>
      <x:c r="G21" s="289" t="str">
        <x:f>IF(E21&lt;0,"DÉFICIT",IF(E21&gt;0,"GANHO LÍQUIDO","EQUILÍBRIO"))</x:f>
        <x:v>DÉFICIT</x:v>
      </x:c>
    </x:row>
    <x:row r="22" ht="22" customHeight="1">
      <x:c r="A22" s="288" t="n">
        <x:v>12</x:v>
      </x:c>
      <x:c r="B22" s="284" t="str">
        <x:v>21ºBPM</x:v>
      </x:c>
      <x:c r="C22" s="294" t="n">
        <x:v>10</x:v>
      </x:c>
      <x:c r="D22" s="294" t="n">
        <x:v>16</x:v>
      </x:c>
      <x:c r="E22" s="298" t="n">
        <x:f>C22-D22</x:f>
        <x:v>-6</x:v>
      </x:c>
      <x:c r="F22" s="294" t="n">
        <x:f>MAX(D22-C22,0)</x:f>
        <x:v>6</x:v>
      </x:c>
      <x:c r="G22" s="288" t="str">
        <x:f>IF(E22&lt;0,"DÉFICIT",IF(E22&gt;0,"GANHO LÍQUIDO","EQUILÍBRIO"))</x:f>
        <x:v>DÉFICIT</x:v>
      </x:c>
    </x:row>
    <x:row r="23" ht="22" customHeight="1">
      <x:c r="A23" s="289" t="n">
        <x:v>13</x:v>
      </x:c>
      <x:c r="B23" s="285" t="str">
        <x:v>24ºBPM</x:v>
      </x:c>
      <x:c r="C23" s="295" t="n">
        <x:v>0</x:v>
      </x:c>
      <x:c r="D23" s="295" t="n">
        <x:v>6</x:v>
      </x:c>
      <x:c r="E23" s="299" t="n">
        <x:f>C23-D23</x:f>
        <x:v>-6</x:v>
      </x:c>
      <x:c r="F23" s="295" t="n">
        <x:f>MAX(D23-C23,0)</x:f>
        <x:v>6</x:v>
      </x:c>
      <x:c r="G23" s="289" t="str">
        <x:f>IF(E23&lt;0,"DÉFICIT",IF(E23&gt;0,"GANHO LÍQUIDO","EQUILÍBRIO"))</x:f>
        <x:v>DÉFICIT</x:v>
      </x:c>
    </x:row>
    <x:row r="24" ht="22" customHeight="1">
      <x:c r="A24" s="288" t="n">
        <x:v>14</x:v>
      </x:c>
      <x:c r="B24" s="284" t="str">
        <x:v>26ºBPM</x:v>
      </x:c>
      <x:c r="C24" s="294" t="n">
        <x:v>13</x:v>
      </x:c>
      <x:c r="D24" s="294" t="n">
        <x:v>19</x:v>
      </x:c>
      <x:c r="E24" s="298" t="n">
        <x:f>C24-D24</x:f>
        <x:v>-6</x:v>
      </x:c>
      <x:c r="F24" s="294" t="n">
        <x:f>MAX(D24-C24,0)</x:f>
        <x:v>6</x:v>
      </x:c>
      <x:c r="G24" s="288" t="str">
        <x:f>IF(E24&lt;0,"DÉFICIT",IF(E24&gt;0,"GANHO LÍQUIDO","EQUILÍBRIO"))</x:f>
        <x:v>DÉFICIT</x:v>
      </x:c>
    </x:row>
    <x:row r="25" ht="22" customHeight="1">
      <x:c r="A25" s="289" t="n">
        <x:v>15</x:v>
      </x:c>
      <x:c r="B25" s="285" t="str">
        <x:v>7ºBPM</x:v>
      </x:c>
      <x:c r="C25" s="295" t="n">
        <x:v>1</x:v>
      </x:c>
      <x:c r="D25" s="295" t="n">
        <x:v>6</x:v>
      </x:c>
      <x:c r="E25" s="299" t="n">
        <x:f>C25-D25</x:f>
        <x:v>-5</x:v>
      </x:c>
      <x:c r="F25" s="295" t="n">
        <x:f>MAX(D25-C25,0)</x:f>
        <x:v>5</x:v>
      </x:c>
      <x:c r="G25" s="289" t="str">
        <x:f>IF(E25&lt;0,"DÉFICIT",IF(E25&gt;0,"GANHO LÍQUIDO","EQUILÍBRIO"))</x:f>
        <x:v>DÉFICIT</x:v>
      </x:c>
    </x:row>
    <x:row r="26" ht="22" customHeight="1">
      <x:c r="A26" s="288" t="n">
        <x:v>16</x:v>
      </x:c>
      <x:c r="B26" s="284" t="str">
        <x:v>19ºBPM</x:v>
      </x:c>
      <x:c r="C26" s="294" t="n">
        <x:v>6</x:v>
      </x:c>
      <x:c r="D26" s="294" t="n">
        <x:v>11</x:v>
      </x:c>
      <x:c r="E26" s="298" t="n">
        <x:f>C26-D26</x:f>
        <x:v>-5</x:v>
      </x:c>
      <x:c r="F26" s="294" t="n">
        <x:f>MAX(D26-C26,0)</x:f>
        <x:v>5</x:v>
      </x:c>
      <x:c r="G26" s="288" t="str">
        <x:f>IF(E26&lt;0,"DÉFICIT",IF(E26&gt;0,"GANHO LÍQUIDO","EQUILÍBRIO"))</x:f>
        <x:v>DÉFICIT</x:v>
      </x:c>
    </x:row>
    <x:row r="27" ht="22" customHeight="1">
      <x:c r="A27" s="289" t="n">
        <x:v>17</x:v>
      </x:c>
      <x:c r="B27" s="285" t="str">
        <x:v>5ºBPM</x:v>
      </x:c>
      <x:c r="C27" s="295" t="n">
        <x:v>7</x:v>
      </x:c>
      <x:c r="D27" s="295" t="n">
        <x:v>11</x:v>
      </x:c>
      <x:c r="E27" s="299" t="n">
        <x:f>C27-D27</x:f>
        <x:v>-4</x:v>
      </x:c>
      <x:c r="F27" s="295" t="n">
        <x:f>MAX(D27-C27,0)</x:f>
        <x:v>4</x:v>
      </x:c>
      <x:c r="G27" s="289" t="str">
        <x:f>IF(E27&lt;0,"DÉFICIT",IF(E27&gt;0,"GANHO LÍQUIDO","EQUILÍBRIO"))</x:f>
        <x:v>DÉFICIT</x:v>
      </x:c>
    </x:row>
    <x:row r="28" ht="22" customHeight="1">
      <x:c r="A28" s="288" t="n">
        <x:v>18</x:v>
      </x:c>
      <x:c r="B28" s="284" t="str">
        <x:v>22ºBPM</x:v>
      </x:c>
      <x:c r="C28" s="294" t="n">
        <x:v>6</x:v>
      </x:c>
      <x:c r="D28" s="294" t="n">
        <x:v>10</x:v>
      </x:c>
      <x:c r="E28" s="298" t="n">
        <x:f>C28-D28</x:f>
        <x:v>-4</x:v>
      </x:c>
      <x:c r="F28" s="294" t="n">
        <x:f>MAX(D28-C28,0)</x:f>
        <x:v>4</x:v>
      </x:c>
      <x:c r="G28" s="288" t="str">
        <x:f>IF(E28&lt;0,"DÉFICIT",IF(E28&gt;0,"GANHO LÍQUIDO","EQUILÍBRIO"))</x:f>
        <x:v>DÉFICIT</x:v>
      </x:c>
    </x:row>
    <x:row r="29" ht="22" customHeight="1">
      <x:c r="A29" s="289" t="n">
        <x:v>19</x:v>
      </x:c>
      <x:c r="B29" s="285" t="str">
        <x:v>2ºBPM</x:v>
      </x:c>
      <x:c r="C29" s="295" t="n">
        <x:v>21</x:v>
      </x:c>
      <x:c r="D29" s="295" t="n">
        <x:v>24</x:v>
      </x:c>
      <x:c r="E29" s="299" t="n">
        <x:f>C29-D29</x:f>
        <x:v>-3</x:v>
      </x:c>
      <x:c r="F29" s="295" t="n">
        <x:f>MAX(D29-C29,0)</x:f>
        <x:v>3</x:v>
      </x:c>
      <x:c r="G29" s="289" t="str">
        <x:f>IF(E29&lt;0,"DÉFICIT",IF(E29&gt;0,"GANHO LÍQUIDO","EQUILÍBRIO"))</x:f>
        <x:v>DÉFICIT</x:v>
      </x:c>
    </x:row>
    <x:row r="30" ht="22" customHeight="1">
      <x:c r="A30" s="288" t="n">
        <x:v>20</x:v>
      </x:c>
      <x:c r="B30" s="284" t="str">
        <x:v>15ºBPM</x:v>
      </x:c>
      <x:c r="C30" s="294" t="n">
        <x:v>3</x:v>
      </x:c>
      <x:c r="D30" s="294" t="n">
        <x:v>5</x:v>
      </x:c>
      <x:c r="E30" s="298" t="n">
        <x:f>C30-D30</x:f>
        <x:v>-2</x:v>
      </x:c>
      <x:c r="F30" s="294" t="n">
        <x:f>MAX(D30-C30,0)</x:f>
        <x:v>2</x:v>
      </x:c>
      <x:c r="G30" s="288" t="str">
        <x:f>IF(E30&lt;0,"DÉFICIT",IF(E30&gt;0,"GANHO LÍQUIDO","EQUILÍBRIO"))</x:f>
        <x:v>DÉFICIT</x:v>
      </x:c>
    </x:row>
    <x:row r="31" ht="22" customHeight="1">
      <x:c r="A31" s="289" t="n">
        <x:v>21</x:v>
      </x:c>
      <x:c r="B31" s="285" t="str">
        <x:v>6ºBPM</x:v>
      </x:c>
      <x:c r="C31" s="295" t="n">
        <x:v>12</x:v>
      </x:c>
      <x:c r="D31" s="295" t="n">
        <x:v>13</x:v>
      </x:c>
      <x:c r="E31" s="299" t="n">
        <x:f>C31-D31</x:f>
        <x:v>-1</x:v>
      </x:c>
      <x:c r="F31" s="295" t="n">
        <x:f>MAX(D31-C31,0)</x:f>
        <x:v>1</x:v>
      </x:c>
      <x:c r="G31" s="289" t="str">
        <x:f>IF(E31&lt;0,"DÉFICIT",IF(E31&gt;0,"GANHO LÍQUIDO","EQUILÍBRIO"))</x:f>
        <x:v>DÉFICIT</x:v>
      </x:c>
    </x:row>
    <x:row r="32" ht="22" customHeight="1">
      <x:c r="A32" s="288" t="n">
        <x:v>22</x:v>
      </x:c>
      <x:c r="B32" s="284" t="str">
        <x:v>31ºBPM</x:v>
      </x:c>
      <x:c r="C32" s="294" t="n">
        <x:v>1</x:v>
      </x:c>
      <x:c r="D32" s="294" t="n">
        <x:v>1</x:v>
      </x:c>
      <x:c r="E32" s="298" t="n">
        <x:f>C32-D32</x:f>
        <x:v>0</x:v>
      </x:c>
      <x:c r="F32" s="294" t="n">
        <x:f>MAX(D32-C32,0)</x:f>
        <x:v>0</x:v>
      </x:c>
      <x:c r="G32" s="288" t="str">
        <x:f>IF(E32&lt;0,"DÉFICIT",IF(E32&gt;0,"GANHO LÍQUIDO","EQUILÍBRIO"))</x:f>
        <x:v>EQUILÍBRIO</x:v>
      </x:c>
    </x:row>
    <x:row r="33" ht="22" customHeight="1">
      <x:c r="A33" s="289" t="n">
        <x:v>23</x:v>
      </x:c>
      <x:c r="B33" s="285" t="str">
        <x:v>25ºBPM</x:v>
      </x:c>
      <x:c r="C33" s="295" t="n">
        <x:v>8</x:v>
      </x:c>
      <x:c r="D33" s="295" t="n">
        <x:v>7</x:v>
      </x:c>
      <x:c r="E33" s="299" t="n">
        <x:f>C33-D33</x:f>
        <x:v>1</x:v>
      </x:c>
      <x:c r="F33" s="295" t="n">
        <x:f>MAX(D33-C33,0)</x:f>
        <x:v>0</x:v>
      </x:c>
      <x:c r="G33" s="289" t="str">
        <x:f>IF(E33&lt;0,"DÉFICIT",IF(E33&gt;0,"GANHO LÍQUIDO","EQUILÍBRIO"))</x:f>
        <x:v>GANHO LÍQUIDO</x:v>
      </x:c>
    </x:row>
    <x:row r="34" ht="22" customHeight="1">
      <x:c r="A34" s="288" t="n">
        <x:v>24</x:v>
      </x:c>
      <x:c r="B34" s="284" t="str">
        <x:v>27ºBPM</x:v>
      </x:c>
      <x:c r="C34" s="294" t="n">
        <x:v>3</x:v>
      </x:c>
      <x:c r="D34" s="294" t="n">
        <x:v>2</x:v>
      </x:c>
      <x:c r="E34" s="298" t="n">
        <x:f>C34-D34</x:f>
        <x:v>1</x:v>
      </x:c>
      <x:c r="F34" s="294" t="n">
        <x:f>MAX(D34-C34,0)</x:f>
        <x:v>0</x:v>
      </x:c>
      <x:c r="G34" s="288" t="str">
        <x:f>IF(E34&lt;0,"DÉFICIT",IF(E34&gt;0,"GANHO LÍQUIDO","EQUILÍBRIO"))</x:f>
        <x:v>GANHO LÍQUIDO</x:v>
      </x:c>
    </x:row>
    <x:row r="35" ht="22" customHeight="1">
      <x:c r="A35" s="289" t="n">
        <x:v>25</x:v>
      </x:c>
      <x:c r="B35" s="285" t="str">
        <x:v>30ºBPM</x:v>
      </x:c>
      <x:c r="C35" s="295" t="n">
        <x:v>1</x:v>
      </x:c>
      <x:c r="D35" s="295" t="n">
        <x:v>0</x:v>
      </x:c>
      <x:c r="E35" s="299" t="n">
        <x:f>C35-D35</x:f>
        <x:v>1</x:v>
      </x:c>
      <x:c r="F35" s="295" t="n">
        <x:f>MAX(D35-C35,0)</x:f>
        <x:v>0</x:v>
      </x:c>
      <x:c r="G35" s="289" t="str">
        <x:f>IF(E35&lt;0,"DÉFICIT",IF(E35&gt;0,"GANHO LÍQUIDO","EQUILÍBRIO"))</x:f>
        <x:v>GANHO LÍQUIDO</x:v>
      </x:c>
    </x:row>
    <x:row r="36" ht="22" customHeight="1">
      <x:c r="A36" s="288" t="n">
        <x:v>26</x:v>
      </x:c>
      <x:c r="B36" s="284" t="str">
        <x:v>1ºBPM</x:v>
      </x:c>
      <x:c r="C36" s="294" t="n">
        <x:v>6</x:v>
      </x:c>
      <x:c r="D36" s="294" t="n">
        <x:v>4</x:v>
      </x:c>
      <x:c r="E36" s="298" t="n">
        <x:f>C36-D36</x:f>
        <x:v>2</x:v>
      </x:c>
      <x:c r="F36" s="294" t="n">
        <x:f>MAX(D36-C36,0)</x:f>
        <x:v>0</x:v>
      </x:c>
      <x:c r="G36" s="288" t="str">
        <x:f>IF(E36&lt;0,"DÉFICIT",IF(E36&gt;0,"GANHO LÍQUIDO","EQUILÍBRIO"))</x:f>
        <x:v>GANHO LÍQUIDO</x:v>
      </x:c>
    </x:row>
    <x:row r="37" ht="22" customHeight="1">
      <x:c r="A37" s="289" t="n">
        <x:v>27</x:v>
      </x:c>
      <x:c r="B37" s="285" t="str">
        <x:v>4ºBPM</x:v>
      </x:c>
      <x:c r="C37" s="295" t="n">
        <x:v>6</x:v>
      </x:c>
      <x:c r="D37" s="295" t="n">
        <x:v>4</x:v>
      </x:c>
      <x:c r="E37" s="299" t="n">
        <x:f>C37-D37</x:f>
        <x:v>2</x:v>
      </x:c>
      <x:c r="F37" s="295" t="n">
        <x:f>MAX(D37-C37,0)</x:f>
        <x:v>0</x:v>
      </x:c>
      <x:c r="G37" s="289" t="str">
        <x:f>IF(E37&lt;0,"DÉFICIT",IF(E37&gt;0,"GANHO LÍQUIDO","EQUILÍBRIO"))</x:f>
        <x:v>GANHO LÍQUIDO</x:v>
      </x:c>
    </x:row>
    <x:row r="38" ht="22" customHeight="1">
      <x:c r="A38" s="288" t="n">
        <x:v>28</x:v>
      </x:c>
      <x:c r="B38" s="284" t="str">
        <x:v>33ºBPM</x:v>
      </x:c>
      <x:c r="C38" s="294" t="n">
        <x:v>3</x:v>
      </x:c>
      <x:c r="D38" s="294" t="n">
        <x:v>1</x:v>
      </x:c>
      <x:c r="E38" s="298" t="n">
        <x:f>C38-D38</x:f>
        <x:v>2</x:v>
      </x:c>
      <x:c r="F38" s="294" t="n">
        <x:f>MAX(D38-C38,0)</x:f>
        <x:v>0</x:v>
      </x:c>
      <x:c r="G38" s="288" t="str">
        <x:f>IF(E38&lt;0,"DÉFICIT",IF(E38&gt;0,"GANHO LÍQUIDO","EQUILÍBRIO"))</x:f>
        <x:v>GANHO LÍQUIDO</x:v>
      </x:c>
    </x:row>
    <x:row r="39" ht="22" customHeight="1">
      <x:c r="A39" s="289" t="n">
        <x:v>29</x:v>
      </x:c>
      <x:c r="B39" s="285" t="str">
        <x:v>10ºBPM</x:v>
      </x:c>
      <x:c r="C39" s="295" t="n">
        <x:v>5</x:v>
      </x:c>
      <x:c r="D39" s="295" t="n">
        <x:v>1</x:v>
      </x:c>
      <x:c r="E39" s="299" t="n">
        <x:f>C39-D39</x:f>
        <x:v>4</x:v>
      </x:c>
      <x:c r="F39" s="295" t="n">
        <x:f>MAX(D39-C39,0)</x:f>
        <x:v>0</x:v>
      </x:c>
      <x:c r="G39" s="289" t="str">
        <x:f>IF(E39&lt;0,"DÉFICIT",IF(E39&gt;0,"GANHO LÍQUIDO","EQUILÍBRIO"))</x:f>
        <x:v>GANHO LÍQUIDO</x:v>
      </x:c>
    </x:row>
    <x:row r="40" ht="22" customHeight="1">
      <x:c r="A40" s="288" t="n">
        <x:v>30</x:v>
      </x:c>
      <x:c r="B40" s="284" t="str">
        <x:v>13ºBPM</x:v>
      </x:c>
      <x:c r="C40" s="294" t="n">
        <x:v>8</x:v>
      </x:c>
      <x:c r="D40" s="294" t="n">
        <x:v>3</x:v>
      </x:c>
      <x:c r="E40" s="298" t="n">
        <x:f>C40-D40</x:f>
        <x:v>5</x:v>
      </x:c>
      <x:c r="F40" s="294" t="n">
        <x:f>MAX(D40-C40,0)</x:f>
        <x:v>0</x:v>
      </x:c>
      <x:c r="G40" s="288" t="str">
        <x:f>IF(E40&lt;0,"DÉFICIT",IF(E40&gt;0,"GANHO LÍQUIDO","EQUILÍBRIO"))</x:f>
        <x:v>GANHO LÍQUIDO</x:v>
      </x:c>
    </x:row>
    <x:row r="41" ht="22" customHeight="1">
      <x:c r="A41" s="289" t="n">
        <x:v>31</x:v>
      </x:c>
      <x:c r="B41" s="285" t="str">
        <x:v>32ºBPM</x:v>
      </x:c>
      <x:c r="C41" s="295" t="n">
        <x:v>6</x:v>
      </x:c>
      <x:c r="D41" s="295" t="n">
        <x:v>1</x:v>
      </x:c>
      <x:c r="E41" s="299" t="n">
        <x:f>C41-D41</x:f>
        <x:v>5</x:v>
      </x:c>
      <x:c r="F41" s="295" t="n">
        <x:f>MAX(D41-C41,0)</x:f>
        <x:v>0</x:v>
      </x:c>
      <x:c r="G41" s="289" t="str">
        <x:f>IF(E41&lt;0,"DÉFICIT",IF(E41&gt;0,"GANHO LÍQUIDO","EQUILÍBRIO"))</x:f>
        <x:v>GANHO LÍQUIDO</x:v>
      </x:c>
    </x:row>
    <x:row r="42" ht="22" customHeight="1">
      <x:c r="A42" s="288" t="n">
        <x:v>32</x:v>
      </x:c>
      <x:c r="B42" s="284" t="str">
        <x:v>34ºBPM</x:v>
      </x:c>
      <x:c r="C42" s="294" t="n">
        <x:v>7</x:v>
      </x:c>
      <x:c r="D42" s="294" t="n">
        <x:v>2</x:v>
      </x:c>
      <x:c r="E42" s="298" t="n">
        <x:f>C42-D42</x:f>
        <x:v>5</x:v>
      </x:c>
      <x:c r="F42" s="294" t="n">
        <x:f>MAX(D42-C42,0)</x:f>
        <x:v>0</x:v>
      </x:c>
      <x:c r="G42" s="288" t="str">
        <x:f>IF(E42&lt;0,"DÉFICIT",IF(E42&gt;0,"GANHO LÍQUIDO","EQUILÍBRIO"))</x:f>
        <x:v>GANHO LÍQUIDO</x:v>
      </x:c>
    </x:row>
    <x:row r="43" ht="22" customHeight="1">
      <x:c r="A43" s="289" t="n">
        <x:v>33</x:v>
      </x:c>
      <x:c r="B43" s="285" t="str">
        <x:v>28ºBPM</x:v>
      </x:c>
      <x:c r="C43" s="295" t="n">
        <x:v>10</x:v>
      </x:c>
      <x:c r="D43" s="295" t="n">
        <x:v>4</x:v>
      </x:c>
      <x:c r="E43" s="299" t="n">
        <x:f>C43-D43</x:f>
        <x:v>6</x:v>
      </x:c>
      <x:c r="F43" s="295" t="n">
        <x:f>MAX(D43-C43,0)</x:f>
        <x:v>0</x:v>
      </x:c>
      <x:c r="G43" s="289" t="str">
        <x:f>IF(E43&lt;0,"DÉFICIT",IF(E43&gt;0,"GANHO LÍQUIDO","EQUILÍBRIO"))</x:f>
        <x:v>GANHO LÍQUIDO</x:v>
      </x:c>
    </x:row>
    <x:row r="44" ht="22" customHeight="1">
      <x:c r="A44" s="290" t="n">
        <x:v>34</x:v>
      </x:c>
      <x:c r="B44" s="286" t="str">
        <x:v>29ºBPM</x:v>
      </x:c>
      <x:c r="C44" s="296" t="n">
        <x:v>16</x:v>
      </x:c>
      <x:c r="D44" s="296" t="n">
        <x:v>6</x:v>
      </x:c>
      <x:c r="E44" s="300" t="n">
        <x:f>C44-D44</x:f>
        <x:v>10</x:v>
      </x:c>
      <x:c r="F44" s="296" t="n">
        <x:f>MAX(D44-C44,0)</x:f>
        <x:v>0</x:v>
      </x:c>
      <x:c r="G44" s="290" t="str">
        <x:f>IF(E44&lt;0,"DÉFICIT",IF(E44&gt;0,"GANHO LÍQUIDO","EQUILÍBRIO"))</x:f>
        <x:v>GANHO LÍQUIDO</x:v>
      </x:c>
    </x:row>
    <x:row r="45" ht="22" customHeight="1">
      <x:c r="A45" s="310" t="str">
        <x:v>TOTAL / RESULTADO</x:v>
      </x:c>
      <x:c r="B45" s="310"/>
      <x:c r="C45" s="311" t="n">
        <x:f>SUM(C11:C44)</x:f>
        <x:v>235</x:v>
      </x:c>
      <x:c r="D45" s="311" t="n">
        <x:f>SUM(D11:D44)</x:f>
        <x:v>337</x:v>
      </x:c>
      <x:c r="E45" s="312" t="n">
        <x:f>C45-D45</x:f>
        <x:v>-102</x:v>
      </x:c>
      <x:c r="F45" s="311" t="n">
        <x:f>SUM(F11:F44)</x:f>
        <x:v>146</x:v>
      </x:c>
      <x:c r="G45" s="313" t="str">
        <x:f>IF(E45&lt;0,"DÉFICIT LÍQUIDO",IF(E45&gt;0,"GANHO LÍQUIDO","EQUILÍBRIO"))</x:f>
        <x:v>DÉFICIT LÍQUIDO</x:v>
      </x:c>
    </x:row>
    <x:row r="47">
      <x:c r="A47" s="217" t="str">
        <x:v>Fonte: ATUALIZAÇÃO MOVIMENTAÇÕES.xlsx | Registros do campo ANO = 2026</x:v>
      </x:c>
      <x:c r="B47" s="217"/>
      <x:c r="C47" s="217"/>
      <x:c r="D47" s="217"/>
      <x:c r="E47" s="217"/>
      <x:c r="F47" s="217"/>
      <x:c r="G47" s="217"/>
      <x:c r="H47" s="217"/>
      <x:c r="I47" s="217"/>
      <x:c r="J47" s="217"/>
    </x:row>
    <x:row r="48">
      <x:c r="A48" s="217" t="str">
        <x:v>Critério: entrada = BTL DESTINO; saída = BTL ORIGEM; 4 movimentações internas com origem e destino iguais foram desconsideradas.</x:v>
      </x:c>
      <x:c r="B48" s="217"/>
      <x:c r="C48" s="217"/>
      <x:c r="D48" s="217"/>
      <x:c r="E48" s="217"/>
      <x:c r="F48" s="217"/>
      <x:c r="G48" s="217"/>
      <x:c r="H48" s="217"/>
      <x:c r="I48" s="217"/>
      <x:c r="J48" s="217"/>
    </x:row>
    <x:row r="49">
      <x:c r="A49" s="217" t="str">
        <x:v>Escopo: 1ºBPM a 34ºBPM. Unidades especializadas, administrativas e o marcador '-' não integram esta tabela.</x:v>
      </x:c>
      <x:c r="B49" s="217"/>
      <x:c r="C49" s="217"/>
      <x:c r="D49" s="217"/>
      <x:c r="E49" s="217"/>
      <x:c r="F49" s="217"/>
      <x:c r="G49" s="217"/>
      <x:c r="H49" s="217"/>
      <x:c r="I49" s="217"/>
      <x:c r="J49" s="217"/>
    </x:row>
    <x:row r="50" ht="16.5" customHeight="1">
      <x:c r="A50" s="432" t="str">
        <x:v>Interpretação: nesta aba, déficit significa saldo negativo das movimentações; o déficit real exige comparar efetivo previsto e efetivo atual.</x:v>
      </x:c>
      <x:c r="B50" s="432"/>
      <x:c r="C50" s="432"/>
      <x:c r="D50" s="432"/>
      <x:c r="E50" s="432"/>
      <x:c r="F50" s="432"/>
      <x:c r="G50" s="432"/>
      <x:c r="H50" s="432"/>
      <x:c r="I50" s="432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47:J47"/>
    <x:mergeCell ref="A48:J48"/>
    <x:mergeCell ref="A49:J49"/>
    <x:mergeCell ref="A50:I50"/>
  </x:mergeCells>
  <x:conditionalFormatting sqref="E11:E44">
    <x:cfRule type="cellIs" dxfId="0" priority="1" operator="lessThan">
      <x:formula>0</x:formula>
    </x:cfRule>
    <x:cfRule type="cellIs" dxfId="1" priority="2" operator="greaterThan">
      <x:formula>0</x:formula>
    </x:cfRule>
    <x:cfRule type="cellIs" dxfId="2" priority="3" operator="equal">
      <x:formula>0</x:formula>
    </x:cfRule>
  </x:conditionalFormatting>
  <x:conditionalFormatting sqref="F11:F44">
    <x:cfRule type="cellIs" dxfId="3" priority="4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1.110000610351562" hidden="0" customWidth="1"/>
    <x:col min="3" max="3" width="11.670000076293945" hidden="0" customWidth="1"/>
    <x:col min="4" max="4" width="10" hidden="0" customWidth="1"/>
    <x:col min="5" max="5" width="12.779999732971191" hidden="0" customWidth="1"/>
    <x:col min="6" max="6" width="16.670000076293945" hidden="0" customWidth="1"/>
    <x:col min="7" max="7" width="11.109999656677246" hidden="0" customWidth="1"/>
    <x:col min="8" max="8" width="18.889999389648438" hidden="0" customWidth="1"/>
    <x:col min="9" max="9" width="9.4399995803833" hidden="0" customWidth="1"/>
    <x:col min="10" max="10" width="9.4399995803833" hidden="0" customWidth="1"/>
  </x:cols>
  <x:sheetData>
    <x:row r="1" ht="31.5" customHeight="1">
      <x:c r="A1" s="319" t="str">
        <x:v>JUNTADA DE DADOS - EFETIVO NECESSÁRIO PARA O PROJETO COPAC</x:v>
      </x:c>
      <x:c r="B1" s="319"/>
      <x:c r="C1" s="319"/>
      <x:c r="D1" s="319"/>
      <x:c r="E1" s="319"/>
      <x:c r="F1" s="319"/>
      <x:c r="G1" s="319"/>
      <x:c r="H1" s="319"/>
      <x:c r="I1" s="319"/>
      <x:c r="J1" s="319"/>
    </x:row>
    <x:row r="2" ht="22.5" customHeight="1">
      <x:c r="A2" s="323" t="str">
        <x:v>Implantação das 12 Unidades de Policiamento Preventivo de Base Comunitária | PReVio</x:v>
      </x:c>
      <x:c r="B2" s="323"/>
      <x:c r="C2" s="323"/>
      <x:c r="D2" s="323"/>
      <x:c r="E2" s="323"/>
      <x:c r="F2" s="323"/>
      <x:c r="G2" s="323"/>
      <x:c r="H2" s="323"/>
      <x:c r="I2" s="323"/>
      <x:c r="J2" s="323"/>
    </x:row>
    <x:row r="4" ht="21" customHeight="1">
      <x:c r="A4" s="330" t="str">
        <x:v>BASES PREVISTAS</x:v>
      </x:c>
      <x:c r="B4" s="331"/>
      <x:c r="C4" s="330" t="str">
        <x:v>PADRÃO MÍNIMO / BASE</x:v>
      </x:c>
      <x:c r="D4" s="331"/>
      <x:c r="E4" s="330" t="str">
        <x:v>EFETIVO COMPLEMENTAR</x:v>
      </x:c>
      <x:c r="F4" s="331"/>
      <x:c r="G4" s="330" t="str">
        <x:v>COMPLEMENTO INTEGRAL</x:v>
      </x:c>
      <x:c r="H4" s="331"/>
      <x:c r="I4" s="330" t="str">
        <x:v>SEM COMPLEMENTO</x:v>
      </x:c>
      <x:c r="J4" s="331"/>
    </x:row>
    <x:row r="5" ht="23.25" customHeight="1">
      <x:c r="A5" s="346" t="n">
        <x:f>COUNTA(B11:B22)</x:f>
        <x:v>12</x:v>
      </x:c>
      <x:c r="B5" s="347"/>
      <x:c r="C5" s="346" t="n">
        <x:f>I38</x:f>
        <x:v>30</x:v>
      </x:c>
      <x:c r="D5" s="347"/>
      <x:c r="E5" s="346" t="n">
        <x:f>SUM(F11:F22)</x:f>
        <x:v>229</x:v>
      </x:c>
      <x:c r="F5" s="347"/>
      <x:c r="G5" s="346" t="n">
        <x:f>COUNTIF(F11:F22,C5)</x:f>
        <x:v>6</x:v>
      </x:c>
      <x:c r="H5" s="347"/>
      <x:c r="I5" s="346" t="n">
        <x:f>COUNTIF(F11:F22,0)</x:f>
        <x:v>1</x:v>
      </x:c>
      <x:c r="J5" s="347"/>
    </x:row>
    <x:row r="6" ht="23.25" customHeight="1">
      <x:c r="A6" s="348"/>
      <x:c r="B6" s="349"/>
      <x:c r="C6" s="348"/>
      <x:c r="D6" s="349"/>
      <x:c r="E6" s="348"/>
      <x:c r="F6" s="349"/>
      <x:c r="G6" s="348"/>
      <x:c r="H6" s="349"/>
      <x:c r="I6" s="348"/>
      <x:c r="J6" s="349"/>
    </x:row>
    <x:row r="8" ht="21" customHeight="1">
      <x:c r="A8" s="357" t="str">
        <x:f>COUNTIF(F11:F22,C5)&amp;" bases necessitam de 30 PMs  |  "&amp;COUNTIF(F11:F22,15)&amp;" necessitam de 15 PMs  |  "&amp;COUNTIF(F11:F22,2)&amp;" necessitam de 2 PMs  |  "&amp;COUNTIF(F11:F22,0)&amp;" não necessita de complemento"</x:f>
        <x:v>6 bases necessitam de 30 PMs  |  3 necessitam de 15 PMs  |  2 necessitam de 2 PMs  |  1 não necessita de complemento</x:v>
      </x:c>
      <x:c r="B8" s="358"/>
      <x:c r="C8" s="358"/>
      <x:c r="D8" s="358"/>
      <x:c r="E8" s="358"/>
      <x:c r="F8" s="358"/>
      <x:c r="G8" s="358"/>
      <x:c r="H8" s="358"/>
      <x:c r="I8" s="358"/>
      <x:c r="J8" s="359"/>
    </x:row>
    <x:row r="10" ht="31.5" customHeight="1">
      <x:c r="A10" s="364" t="str">
        <x:v>Nº</x:v>
      </x:c>
      <x:c r="B10" s="364" t="str">
        <x:v>UNIDADE / BASE</x:v>
      </x:c>
      <x:c r="C10" s="364" t="str">
        <x:v>VINCULAÇÃO</x:v>
      </x:c>
      <x:c r="D10" s="364" t="str">
        <x:v>ENTREGA</x:v>
      </x:c>
      <x:c r="E10" s="364" t="str">
        <x:v>PADRÃO MÍNIMO</x:v>
      </x:c>
      <x:c r="F10" s="364" t="str">
        <x:v>NECESSIDADE COMPLEMENTAR</x:v>
      </x:c>
      <x:c r="G10" s="364" t="str">
        <x:v>% DO PADRÃO</x:v>
      </x:c>
      <x:c r="H10" s="364" t="str">
        <x:v>SITUAÇÃO</x:v>
      </x:c>
    </x:row>
    <x:row r="11" ht="18" customHeight="1">
      <x:c r="A11" s="374" t="n">
        <x:v>1</x:v>
      </x:c>
      <x:c r="B11" s="369" t="str">
        <x:v>Itapipoca</x:v>
      </x:c>
      <x:c r="C11" s="374" t="str">
        <x:v>-</x:v>
      </x:c>
      <x:c r="D11" s="374" t="str">
        <x:v>Abril</x:v>
      </x:c>
      <x:c r="E11" s="378" t="n">
        <x:f>$C$5</x:f>
        <x:v>30</x:v>
      </x:c>
      <x:c r="F11" s="378" t="n">
        <x:v>30</x:v>
      </x:c>
      <x:c r="G11" s="383" t="n">
        <x:f>IF(E11=0,0,F11/E11)</x:f>
        <x:v>1</x:v>
      </x:c>
      <x:c r="H11" s="374" t="str">
        <x:f>IF(F11=0,"SEM COMPLEMENTO",IF(F11=E11,"INTEGRAL","PARCIAL"))</x:f>
        <x:v>INTEGRAL</x:v>
      </x:c>
    </x:row>
    <x:row r="12" ht="18" customHeight="1">
      <x:c r="A12" s="375" t="n">
        <x:v>2</x:v>
      </x:c>
      <x:c r="B12" s="372" t="str">
        <x:v>Quixadá</x:v>
      </x:c>
      <x:c r="C12" s="375" t="str">
        <x:v>-</x:v>
      </x:c>
      <x:c r="D12" s="375" t="str">
        <x:v>Abril</x:v>
      </x:c>
      <x:c r="E12" s="379" t="n">
        <x:f>$C$5</x:f>
        <x:v>30</x:v>
      </x:c>
      <x:c r="F12" s="379" t="n">
        <x:v>30</x:v>
      </x:c>
      <x:c r="G12" s="384" t="n">
        <x:f>IF(E12=0,0,F12/E12)</x:f>
        <x:v>1</x:v>
      </x:c>
      <x:c r="H12" s="375" t="str">
        <x:f>IF(F12=0,"SEM COMPLEMENTO",IF(F12=E12,"INTEGRAL","PARCIAL"))</x:f>
        <x:v>INTEGRAL</x:v>
      </x:c>
    </x:row>
    <x:row r="13" ht="18" customHeight="1">
      <x:c r="A13" s="376" t="n">
        <x:v>3</x:v>
      </x:c>
      <x:c r="B13" s="370" t="str">
        <x:v>Maranguape</x:v>
      </x:c>
      <x:c r="C13" s="376" t="str">
        <x:v>-</x:v>
      </x:c>
      <x:c r="D13" s="376" t="str">
        <x:v>Abril</x:v>
      </x:c>
      <x:c r="E13" s="380" t="n">
        <x:f>$C$5</x:f>
        <x:v>30</x:v>
      </x:c>
      <x:c r="F13" s="380" t="n">
        <x:v>15</x:v>
      </x:c>
      <x:c r="G13" s="385" t="n">
        <x:f>IF(E13=0,0,F13/E13)</x:f>
        <x:v>0.5</x:v>
      </x:c>
      <x:c r="H13" s="376" t="str">
        <x:f>IF(F13=0,"SEM COMPLEMENTO",IF(F13=E13,"INTEGRAL","PARCIAL"))</x:f>
        <x:v>PARCIAL</x:v>
      </x:c>
    </x:row>
    <x:row r="14" ht="18" customHeight="1">
      <x:c r="A14" s="375" t="n">
        <x:v>4</x:v>
      </x:c>
      <x:c r="B14" s="372" t="str">
        <x:v>Caucaia 1</x:v>
      </x:c>
      <x:c r="C14" s="375" t="str">
        <x:v>3ª Cia</x:v>
      </x:c>
      <x:c r="D14" s="375" t="str">
        <x:v>Maio</x:v>
      </x:c>
      <x:c r="E14" s="379" t="n">
        <x:f>$C$5</x:f>
        <x:v>30</x:v>
      </x:c>
      <x:c r="F14" s="379" t="n">
        <x:v>0</x:v>
      </x:c>
      <x:c r="G14" s="384" t="n">
        <x:f>IF(E14=0,0,F14/E14)</x:f>
        <x:v>0</x:v>
      </x:c>
      <x:c r="H14" s="375" t="str">
        <x:f>IF(F14=0,"SEM COMPLEMENTO",IF(F14=E14,"INTEGRAL","PARCIAL"))</x:f>
        <x:v>SEM COMPLEMENTO</x:v>
      </x:c>
    </x:row>
    <x:row r="15" ht="18" customHeight="1">
      <x:c r="A15" s="376" t="n">
        <x:v>5</x:v>
      </x:c>
      <x:c r="B15" s="370" t="str">
        <x:v>Fortaleza</x:v>
      </x:c>
      <x:c r="C15" s="376" t="str">
        <x:v>2ª Cia</x:v>
      </x:c>
      <x:c r="D15" s="376" t="str">
        <x:v>Maio</x:v>
      </x:c>
      <x:c r="E15" s="380" t="n">
        <x:f>$C$5</x:f>
        <x:v>30</x:v>
      </x:c>
      <x:c r="F15" s="380" t="n">
        <x:v>15</x:v>
      </x:c>
      <x:c r="G15" s="385" t="n">
        <x:f>IF(E15=0,0,F15/E15)</x:f>
        <x:v>0.5</x:v>
      </x:c>
      <x:c r="H15" s="376" t="str">
        <x:f>IF(F15=0,"SEM COMPLEMENTO",IF(F15=E15,"INTEGRAL","PARCIAL"))</x:f>
        <x:v>PARCIAL</x:v>
      </x:c>
    </x:row>
    <x:row r="16" ht="18" customHeight="1">
      <x:c r="A16" s="375" t="n">
        <x:v>6</x:v>
      </x:c>
      <x:c r="B16" s="372" t="str">
        <x:v>Iguatu</x:v>
      </x:c>
      <x:c r="C16" s="375" t="str">
        <x:v>-</x:v>
      </x:c>
      <x:c r="D16" s="375" t="str">
        <x:v>Junho</x:v>
      </x:c>
      <x:c r="E16" s="379" t="n">
        <x:f>$C$5</x:f>
        <x:v>30</x:v>
      </x:c>
      <x:c r="F16" s="379" t="n">
        <x:v>30</x:v>
      </x:c>
      <x:c r="G16" s="384" t="n">
        <x:f>IF(E16=0,0,F16/E16)</x:f>
        <x:v>1</x:v>
      </x:c>
      <x:c r="H16" s="375" t="str">
        <x:f>IF(F16=0,"SEM COMPLEMENTO",IF(F16=E16,"INTEGRAL","PARCIAL"))</x:f>
        <x:v>INTEGRAL</x:v>
      </x:c>
    </x:row>
    <x:row r="17" ht="18" customHeight="1">
      <x:c r="A17" s="376" t="n">
        <x:v>7</x:v>
      </x:c>
      <x:c r="B17" s="370" t="str">
        <x:v>Juazeiro do Norte</x:v>
      </x:c>
      <x:c r="C17" s="376" t="str">
        <x:v>5ª Cia</x:v>
      </x:c>
      <x:c r="D17" s="376" t="str">
        <x:v>Junho</x:v>
      </x:c>
      <x:c r="E17" s="380" t="n">
        <x:f>$C$5</x:f>
        <x:v>30</x:v>
      </x:c>
      <x:c r="F17" s="380" t="n">
        <x:v>2</x:v>
      </x:c>
      <x:c r="G17" s="385" t="n">
        <x:f>IF(E17=0,0,F17/E17)</x:f>
        <x:v>0.06666666666666667</x:v>
      </x:c>
      <x:c r="H17" s="376" t="str">
        <x:f>IF(F17=0,"SEM COMPLEMENTO",IF(F17=E17,"INTEGRAL","PARCIAL"))</x:f>
        <x:v>PARCIAL</x:v>
      </x:c>
    </x:row>
    <x:row r="18" ht="18" customHeight="1">
      <x:c r="A18" s="375" t="n">
        <x:v>8</x:v>
      </x:c>
      <x:c r="B18" s="372" t="str">
        <x:v>Maracanaú 1</x:v>
      </x:c>
      <x:c r="C18" s="375" t="str">
        <x:v>-</x:v>
      </x:c>
      <x:c r="D18" s="375" t="str">
        <x:v>Junho</x:v>
      </x:c>
      <x:c r="E18" s="379" t="n">
        <x:f>$C$5</x:f>
        <x:v>30</x:v>
      </x:c>
      <x:c r="F18" s="379" t="n">
        <x:v>15</x:v>
      </x:c>
      <x:c r="G18" s="384" t="n">
        <x:f>IF(E18=0,0,F18/E18)</x:f>
        <x:v>0.5</x:v>
      </x:c>
      <x:c r="H18" s="375" t="str">
        <x:f>IF(F18=0,"SEM COMPLEMENTO",IF(F18=E18,"INTEGRAL","PARCIAL"))</x:f>
        <x:v>PARCIAL</x:v>
      </x:c>
    </x:row>
    <x:row r="19" ht="18" customHeight="1">
      <x:c r="A19" s="376" t="n">
        <x:v>9</x:v>
      </x:c>
      <x:c r="B19" s="370" t="str">
        <x:v>Sobral</x:v>
      </x:c>
      <x:c r="C19" s="376" t="str">
        <x:v>4ª Cia</x:v>
      </x:c>
      <x:c r="D19" s="376" t="str">
        <x:v>Junho</x:v>
      </x:c>
      <x:c r="E19" s="380" t="n">
        <x:f>$C$5</x:f>
        <x:v>30</x:v>
      </x:c>
      <x:c r="F19" s="380" t="n">
        <x:v>2</x:v>
      </x:c>
      <x:c r="G19" s="385" t="n">
        <x:f>IF(E19=0,0,F19/E19)</x:f>
        <x:v>0.06666666666666667</x:v>
      </x:c>
      <x:c r="H19" s="376" t="str">
        <x:f>IF(F19=0,"SEM COMPLEMENTO",IF(F19=E19,"INTEGRAL","PARCIAL"))</x:f>
        <x:v>PARCIAL</x:v>
      </x:c>
    </x:row>
    <x:row r="20" ht="18" customHeight="1">
      <x:c r="A20" s="375" t="n">
        <x:v>10</x:v>
      </x:c>
      <x:c r="B20" s="372" t="str">
        <x:v>Caucaia 2</x:v>
      </x:c>
      <x:c r="C20" s="375" t="str">
        <x:v>-</x:v>
      </x:c>
      <x:c r="D20" s="375" t="str">
        <x:v>Julho</x:v>
      </x:c>
      <x:c r="E20" s="379" t="n">
        <x:f>$C$5</x:f>
        <x:v>30</x:v>
      </x:c>
      <x:c r="F20" s="379" t="n">
        <x:v>30</x:v>
      </x:c>
      <x:c r="G20" s="384" t="n">
        <x:f>IF(E20=0,0,F20/E20)</x:f>
        <x:v>1</x:v>
      </x:c>
      <x:c r="H20" s="375" t="str">
        <x:f>IF(F20=0,"SEM COMPLEMENTO",IF(F20=E20,"INTEGRAL","PARCIAL"))</x:f>
        <x:v>INTEGRAL</x:v>
      </x:c>
    </x:row>
    <x:row r="21" ht="18" customHeight="1">
      <x:c r="A21" s="376" t="n">
        <x:v>11</x:v>
      </x:c>
      <x:c r="B21" s="370" t="str">
        <x:v>Crato</x:v>
      </x:c>
      <x:c r="C21" s="376" t="str">
        <x:v>-</x:v>
      </x:c>
      <x:c r="D21" s="376" t="str">
        <x:v>Julho</x:v>
      </x:c>
      <x:c r="E21" s="380" t="n">
        <x:f>$C$5</x:f>
        <x:v>30</x:v>
      </x:c>
      <x:c r="F21" s="380" t="n">
        <x:v>30</x:v>
      </x:c>
      <x:c r="G21" s="385" t="n">
        <x:f>IF(E21=0,0,F21/E21)</x:f>
        <x:v>1</x:v>
      </x:c>
      <x:c r="H21" s="376" t="str">
        <x:f>IF(F21=0,"SEM COMPLEMENTO",IF(F21=E21,"INTEGRAL","PARCIAL"))</x:f>
        <x:v>INTEGRAL</x:v>
      </x:c>
    </x:row>
    <x:row r="22" ht="18" customHeight="1">
      <x:c r="A22" s="377" t="n">
        <x:v>12</x:v>
      </x:c>
      <x:c r="B22" s="373" t="str">
        <x:v>Maracanaú 2</x:v>
      </x:c>
      <x:c r="C22" s="377" t="str">
        <x:v>-</x:v>
      </x:c>
      <x:c r="D22" s="377" t="str">
        <x:v>Julho</x:v>
      </x:c>
      <x:c r="E22" s="381" t="n">
        <x:f>$C$5</x:f>
        <x:v>30</x:v>
      </x:c>
      <x:c r="F22" s="381" t="n">
        <x:v>30</x:v>
      </x:c>
      <x:c r="G22" s="386" t="n">
        <x:f>IF(E22=0,0,F22/E22)</x:f>
        <x:v>1</x:v>
      </x:c>
      <x:c r="H22" s="377" t="str">
        <x:f>IF(F22=0,"SEM COMPLEMENTO",IF(F22=E22,"INTEGRAL","PARCIAL"))</x:f>
        <x:v>INTEGRAL</x:v>
      </x:c>
    </x:row>
    <x:row r="23" ht="18" customHeight="1">
      <x:c r="A23" s="402" t="str">
        <x:v>TOTAL / RESULTADO</x:v>
      </x:c>
      <x:c r="B23" s="399"/>
      <x:c r="C23" s="399"/>
      <x:c r="D23" s="399"/>
      <x:c r="E23" s="400" t="n">
        <x:f>SUM(E11:E22)</x:f>
        <x:v>360</x:v>
      </x:c>
      <x:c r="F23" s="400" t="n">
        <x:f>SUM(F11:F22)</x:f>
        <x:v>229</x:v>
      </x:c>
      <x:c r="G23" s="401" t="n">
        <x:f>F23/E23</x:f>
        <x:v>0.6361111111111111</x:v>
      </x:c>
      <x:c r="H23" s="399" t="str">
        <x:f>F23&amp;" PMs"</x:f>
        <x:v>229 PMs</x:v>
      </x:c>
    </x:row>
    <x:row r="26" ht="21" customHeight="1">
      <x:c r="A26" s="405" t="str">
        <x:v>NECESSIDADE POR MÊS DE ENTREGA</x:v>
      </x:c>
      <x:c r="B26" s="405"/>
      <x:c r="C26" s="405"/>
      <x:c r="D26" s="405"/>
      <x:c r="F26" s="405" t="str">
        <x:v>COMPOSIÇÃO DO EFETIVO MÍNIMO POR UNIDADE</x:v>
      </x:c>
      <x:c r="G26" s="405"/>
      <x:c r="H26" s="405"/>
      <x:c r="I26" s="405"/>
      <x:c r="J26" s="405"/>
    </x:row>
    <x:row r="27" ht="21" customHeight="1">
      <x:c r="A27" s="412" t="str">
        <x:v>MÊS</x:v>
      </x:c>
      <x:c r="B27" s="413" t="str">
        <x:v>BASES</x:v>
      </x:c>
      <x:c r="C27" s="413" t="str">
        <x:v>EFETIVO</x:v>
      </x:c>
      <x:c r="D27" s="414" t="str">
        <x:v>% DO TOTAL</x:v>
      </x:c>
      <x:c r="F27" s="412" t="str">
        <x:v>TIPO DE POLICIAMENTO / FUNÇÃO</x:v>
      </x:c>
      <x:c r="G27" s="413"/>
      <x:c r="H27" s="413"/>
      <x:c r="I27" s="413" t="str">
        <x:v>QUANTIDADE</x:v>
      </x:c>
      <x:c r="J27" s="414"/>
    </x:row>
    <x:row r="28" ht="17.25" customHeight="1">
      <x:c r="A28" s="374" t="str">
        <x:v>Abril</x:v>
      </x:c>
      <x:c r="B28" s="374" t="n">
        <x:f>COUNTIF($D$11:$D$22,A28)</x:f>
        <x:v>3</x:v>
      </x:c>
      <x:c r="C28" s="378" t="n">
        <x:f>SUMIF($D$11:$D$22,A28,$F$11:$F$22)</x:f>
        <x:v>75</x:v>
      </x:c>
      <x:c r="D28" s="383" t="n">
        <x:f>C28/$E$5</x:f>
        <x:v>0.32751091703056767</x:v>
      </x:c>
      <x:c r="F28" s="369" t="str">
        <x:v>Guarda do quartel (4 + 1 ferista)</x:v>
      </x:c>
      <x:c r="G28" s="369"/>
      <x:c r="H28" s="369"/>
      <x:c r="I28" s="378" t="n">
        <x:v>5</x:v>
      </x:c>
      <x:c r="J28" s="374"/>
    </x:row>
    <x:row r="29" ht="17.25" customHeight="1">
      <x:c r="A29" s="376" t="str">
        <x:v>Maio</x:v>
      </x:c>
      <x:c r="B29" s="376" t="n">
        <x:f>COUNTIF($D$11:$D$22,A29)</x:f>
        <x:v>2</x:v>
      </x:c>
      <x:c r="C29" s="380" t="n">
        <x:f>SUMIF($D$11:$D$22,A29,$F$11:$F$22)</x:f>
        <x:v>15</x:v>
      </x:c>
      <x:c r="D29" s="385" t="n">
        <x:f>C29/$E$5</x:f>
        <x:v>0.06550218340611354</x:v>
      </x:c>
      <x:c r="F29" s="370" t="str">
        <x:v>Armeiros</x:v>
      </x:c>
      <x:c r="G29" s="370"/>
      <x:c r="H29" s="370"/>
      <x:c r="I29" s="380" t="n">
        <x:v>4</x:v>
      </x:c>
      <x:c r="J29" s="376"/>
    </x:row>
    <x:row r="30" ht="17.25" customHeight="1">
      <x:c r="A30" s="376" t="str">
        <x:v>Junho</x:v>
      </x:c>
      <x:c r="B30" s="376" t="n">
        <x:f>COUNTIF($D$11:$D$22,A30)</x:f>
        <x:v>4</x:v>
      </x:c>
      <x:c r="C30" s="380" t="n">
        <x:f>SUMIF($D$11:$D$22,A30,$F$11:$F$22)</x:f>
        <x:v>49</x:v>
      </x:c>
      <x:c r="D30" s="385" t="n">
        <x:f>C30/$E$5</x:f>
        <x:v>0.21397379912663755</x:v>
      </x:c>
      <x:c r="F30" s="370" t="str">
        <x:v>Auxiliar P4</x:v>
      </x:c>
      <x:c r="G30" s="370"/>
      <x:c r="H30" s="370"/>
      <x:c r="I30" s="380" t="n">
        <x:v>1</x:v>
      </x:c>
      <x:c r="J30" s="376"/>
    </x:row>
    <x:row r="31" ht="17.25" customHeight="1">
      <x:c r="A31" s="418" t="str">
        <x:v>Julho</x:v>
      </x:c>
      <x:c r="B31" s="418" t="n">
        <x:f>COUNTIF($D$11:$D$22,A31)</x:f>
        <x:v>3</x:v>
      </x:c>
      <x:c r="C31" s="419" t="n">
        <x:f>SUMIF($D$11:$D$22,A31,$F$11:$F$22)</x:f>
        <x:v>90</x:v>
      </x:c>
      <x:c r="D31" s="420" t="n">
        <x:f>C31/$E$5</x:f>
        <x:v>0.3930131004366812</x:v>
      </x:c>
      <x:c r="F31" s="370" t="str">
        <x:v>Auxiliar P1</x:v>
      </x:c>
      <x:c r="G31" s="370"/>
      <x:c r="H31" s="370"/>
      <x:c r="I31" s="380" t="n">
        <x:v>1</x:v>
      </x:c>
      <x:c r="J31" s="376"/>
    </x:row>
    <x:row r="32" ht="17.25" customHeight="1">
      <x:c r="A32" s="396" t="str">
        <x:v>TOTAL</x:v>
      </x:c>
      <x:c r="B32" s="396" t="n">
        <x:f>SUM(B28:B31)</x:f>
        <x:v>12</x:v>
      </x:c>
      <x:c r="C32" s="397" t="n">
        <x:f>SUM(C28:C31)</x:f>
        <x:v>229</x:v>
      </x:c>
      <x:c r="D32" s="398" t="n">
        <x:f>SUM(D28:D31)</x:f>
        <x:v>1</x:v>
      </x:c>
      <x:c r="F32" s="370" t="str">
        <x:v>NuMec</x:v>
      </x:c>
      <x:c r="G32" s="370"/>
      <x:c r="H32" s="370"/>
      <x:c r="I32" s="380" t="n">
        <x:v>4</x:v>
      </x:c>
      <x:c r="J32" s="376"/>
    </x:row>
    <x:row r="33" ht="17.25" customHeight="1">
      <x:c r="F33" s="370" t="str">
        <x:v>GAVV</x:v>
      </x:c>
      <x:c r="G33" s="370"/>
      <x:c r="H33" s="370"/>
      <x:c r="I33" s="380" t="n">
        <x:v>3</x:v>
      </x:c>
      <x:c r="J33" s="376"/>
    </x:row>
    <x:row r="34" ht="17.25" customHeight="1">
      <x:c r="F34" s="370" t="str">
        <x:v>GSE T/A</x:v>
      </x:c>
      <x:c r="G34" s="370"/>
      <x:c r="H34" s="370"/>
      <x:c r="I34" s="380" t="n">
        <x:v>3</x:v>
      </x:c>
      <x:c r="J34" s="376"/>
    </x:row>
    <x:row r="35" ht="17.25" customHeight="1">
      <x:c r="F35" s="370" t="str">
        <x:v>GSE T/B</x:v>
      </x:c>
      <x:c r="G35" s="370"/>
      <x:c r="H35" s="370"/>
      <x:c r="I35" s="380" t="n">
        <x:v>3</x:v>
      </x:c>
      <x:c r="J35" s="376"/>
    </x:row>
    <x:row r="36" ht="17.25" customHeight="1">
      <x:c r="F36" s="370" t="str">
        <x:v>GSC</x:v>
      </x:c>
      <x:c r="G36" s="370"/>
      <x:c r="H36" s="370"/>
      <x:c r="I36" s="380" t="n">
        <x:v>3</x:v>
      </x:c>
      <x:c r="J36" s="376"/>
    </x:row>
    <x:row r="37" ht="17.25" customHeight="1">
      <x:c r="F37" s="371" t="str">
        <x:v>GPF</x:v>
      </x:c>
      <x:c r="G37" s="371"/>
      <x:c r="H37" s="371"/>
      <x:c r="I37" s="419" t="n">
        <x:v>3</x:v>
      </x:c>
      <x:c r="J37" s="418"/>
    </x:row>
    <x:row r="38" ht="17.25" customHeight="1">
      <x:c r="F38" s="429" t="str">
        <x:v>TOTAL POR UNIDADE</x:v>
      </x:c>
      <x:c r="G38" s="429"/>
      <x:c r="H38" s="429"/>
      <x:c r="I38" s="400" t="n">
        <x:f>SUM(I28:I37)</x:f>
        <x:v>30</x:v>
      </x:c>
      <x:c r="J38" s="399"/>
    </x:row>
    <x:row r="39">
      <x:c r="I39" s="315"/>
    </x:row>
    <x:row r="41" ht="16.5" customHeight="1">
      <x:c r="A41" s="432" t="str">
        <x:v>Fonte: NUP PRÉVIO - PROJEÇÃO DE QUANTITATIVO DE EFETIVO POLICIAL - 12 BASES.pdf | NUP 30001.017615/2025-92 | p. 015 a 018</x:v>
      </x:c>
      <x:c r="B41" s="432"/>
      <x:c r="C41" s="432"/>
      <x:c r="D41" s="432"/>
      <x:c r="E41" s="432"/>
      <x:c r="F41" s="432"/>
      <x:c r="G41" s="432"/>
      <x:c r="H41" s="432"/>
      <x:c r="I41" s="432"/>
      <x:c r="J41" s="432"/>
    </x:row>
    <x:row r="42" ht="16.5" customHeight="1">
      <x:c r="A42" s="432" t="str">
        <x:v>Critério: necessidade complementar informada pelo COPAC, considerando estruturas e efetivos já existentes nas localidades.</x:v>
      </x:c>
      <x:c r="B42" s="432"/>
      <x:c r="C42" s="432"/>
      <x:c r="D42" s="432"/>
      <x:c r="E42" s="432"/>
      <x:c r="F42" s="432"/>
      <x:c r="G42" s="432"/>
      <x:c r="H42" s="432"/>
      <x:c r="I42" s="432"/>
      <x:c r="J42" s="432"/>
    </x:row>
    <x:row r="43" ht="16.5" customHeight="1">
      <x:c r="A43" s="432" t="str">
        <x:v>Ressalva do documento: o quantitativo não inclui o comando das unidades, pois a classificação institucional ainda não estava definida.</x:v>
      </x:c>
      <x:c r="B43" s="432"/>
      <x:c r="C43" s="432"/>
      <x:c r="D43" s="432"/>
      <x:c r="E43" s="432"/>
      <x:c r="F43" s="432"/>
      <x:c r="G43" s="432"/>
      <x:c r="H43" s="432"/>
      <x:c r="I43" s="432"/>
      <x:c r="J43" s="432"/>
    </x:row>
    <x:row r="44" ht="16.5" customHeight="1">
      <x:c r="A44" s="432" t="str">
        <x:v>Referência: o padrão mínimo operacional é de 30 PMs por unidade; 12 unidades equivalem a 360 PMs, antes dos abatimentos decorrentes das estruturas existentes.</x:v>
      </x:c>
      <x:c r="B44" s="432"/>
      <x:c r="C44" s="432"/>
      <x:c r="D44" s="432"/>
      <x:c r="E44" s="432"/>
      <x:c r="F44" s="432"/>
      <x:c r="G44" s="432"/>
      <x:c r="H44" s="432"/>
      <x:c r="I44" s="432"/>
      <x:c r="J44" s="432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23:D23"/>
    <x:mergeCell ref="A26:D26"/>
    <x:mergeCell ref="F26:J26"/>
    <x:mergeCell ref="F27:H27"/>
    <x:mergeCell ref="I27:J27"/>
    <x:mergeCell ref="F28:H28"/>
    <x:mergeCell ref="I28:J28"/>
    <x:mergeCell ref="F29:H29"/>
    <x:mergeCell ref="I29:J29"/>
    <x:mergeCell ref="F30:H30"/>
    <x:mergeCell ref="I30:J30"/>
    <x:mergeCell ref="F31:H31"/>
    <x:mergeCell ref="I31:J31"/>
    <x:mergeCell ref="F32:H32"/>
    <x:mergeCell ref="I32:J32"/>
    <x:mergeCell ref="F33:H33"/>
    <x:mergeCell ref="I33:J33"/>
    <x:mergeCell ref="F34:H34"/>
    <x:mergeCell ref="I34:J34"/>
    <x:mergeCell ref="F35:H35"/>
    <x:mergeCell ref="I35:J35"/>
    <x:mergeCell ref="F36:H36"/>
    <x:mergeCell ref="I36:J36"/>
    <x:mergeCell ref="F37:H37"/>
    <x:mergeCell ref="I37:J37"/>
    <x:mergeCell ref="F38:H38"/>
    <x:mergeCell ref="I38:J38"/>
    <x:mergeCell ref="A41:J41"/>
    <x:mergeCell ref="A42:J42"/>
    <x:mergeCell ref="A43:J43"/>
    <x:mergeCell ref="A44:J44"/>
  </x:mergeCells>
  <x:conditionalFormatting sqref="F11:F22">
    <x:cfRule type="cellIs" dxfId="4" priority="1" operator="equal">
      <x:formula>0</x:formula>
    </x:cfRule>
    <x:cfRule type="cellIs" dxfId="5" priority="2" operator="equal">
      <x:formula>30</x:formula>
    </x:cfRule>
    <x:cfRule type="cellIs" dxfId="6" priority="3" operator="between">
      <x:formula>1</x:formula>
      <x:formula>29</x:formula>
    </x:cfRule>
  </x:conditionalFormatting>
  <x:conditionalFormatting sqref="H11:H22">
    <x:cfRule type="containsText" dxfId="7" priority="4" operator="containsText" text="INTEGRAL"/>
    <x:cfRule type="containsText" dxfId="8" priority="5" operator="containsText" text="PARCIAL"/>
    <x:cfRule type="containsText" dxfId="9" priority="6" operator="containsText" text="SEM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109999656677246" hidden="0" customWidth="1"/>
    <x:col min="10" max="10" width="16.670000076293945" hidden="0" customWidth="1"/>
  </x:cols>
  <x:sheetData>
    <x:row r="1" ht="31.5" customHeight="1">
      <x:c r="A1" s="436" t="str">
        <x:v>JUNTADA DE DADOS - PROMOÇÕES REQUERIDAS EM 2026</x:v>
      </x:c>
      <x:c r="B1" s="436"/>
      <x:c r="C1" s="436"/>
      <x:c r="D1" s="436"/>
      <x:c r="E1" s="436"/>
      <x:c r="F1" s="436"/>
      <x:c r="G1" s="436"/>
      <x:c r="H1" s="436"/>
      <x:c r="I1" s="436"/>
      <x:c r="J1" s="436"/>
    </x:row>
    <x:row r="2" ht="22.5" customHeight="1">
      <x:c r="A2" s="440" t="str">
        <x:v>Quantitativos por modalidade | Atualização da fonte em 21/08/2026</x:v>
      </x:c>
      <x:c r="B2" s="440"/>
      <x:c r="C2" s="440"/>
      <x:c r="D2" s="440"/>
      <x:c r="E2" s="440"/>
      <x:c r="F2" s="440"/>
      <x:c r="G2" s="440"/>
      <x:c r="H2" s="440"/>
      <x:c r="I2" s="440"/>
      <x:c r="J2" s="440"/>
    </x:row>
    <x:row r="4" ht="24" customHeight="1">
      <x:c r="A4" s="449" t="str">
        <x:v>TOTAL PROMOVIDOS</x:v>
      </x:c>
      <x:c r="B4" s="450"/>
      <x:c r="C4" s="449" t="str">
        <x:v>PROMOÇÕES DE OFICIAIS</x:v>
      </x:c>
      <x:c r="D4" s="450"/>
      <x:c r="E4" s="449" t="str">
        <x:v>ACESSO AO OFICIALATO</x:v>
      </x:c>
      <x:c r="F4" s="450"/>
      <x:c r="G4" s="449" t="str">
        <x:v>MODALIDADES COM REGISTROS</x:v>
      </x:c>
      <x:c r="H4" s="450"/>
      <x:c r="I4" s="449" t="str">
        <x:v>MODALIDADES SEM REGISTROS</x:v>
      </x:c>
      <x:c r="J4" s="450"/>
    </x:row>
    <x:row r="5" ht="23.25" customHeight="1">
      <x:c r="A5" s="465" t="n">
        <x:f>H21</x:f>
        <x:v>207</x:v>
      </x:c>
      <x:c r="B5" s="466"/>
      <x:c r="C5" s="465" t="n">
        <x:f>SUM(H11:H19)</x:f>
        <x:v>54</x:v>
      </x:c>
      <x:c r="D5" s="466"/>
      <x:c r="E5" s="465" t="n">
        <x:f>H20</x:f>
        <x:v>153</x:v>
      </x:c>
      <x:c r="F5" s="466"/>
      <x:c r="G5" s="465" t="n">
        <x:f>COUNTIF(H11:H20,"&gt;0")</x:f>
        <x:v>6</x:v>
      </x:c>
      <x:c r="H5" s="466"/>
      <x:c r="I5" s="465" t="n">
        <x:f>COUNTIF(H11:H20,0)</x:f>
        <x:v>4</x:v>
      </x:c>
      <x:c r="J5" s="466"/>
    </x:row>
    <x:row r="6" ht="23.25" customHeight="1">
      <x:c r="A6" s="467"/>
      <x:c r="B6" s="468"/>
      <x:c r="C6" s="467"/>
      <x:c r="D6" s="468"/>
      <x:c r="E6" s="467"/>
      <x:c r="F6" s="468"/>
      <x:c r="G6" s="467"/>
      <x:c r="H6" s="468"/>
      <x:c r="I6" s="467"/>
      <x:c r="J6" s="468"/>
    </x:row>
    <x:row r="8" ht="22.5" customHeight="1">
      <x:c r="A8" s="476" t="str">
        <x:f>E5&amp;" promoções de SUBTEN PM a 2ºTEN QOAPM ("&amp;TEXT(E5/A5,"0.0%")&amp;")  |  "&amp;C5&amp;" promoções entre postos dos quadros de oficiais ("&amp;TEXT(C5/A5,"0.0%")&amp;")"</x:f>
        <x:v>153 promoções de SUBTEN PM a 2ºTEN QOAPM (73.9%)  |  54 promoções entre postos dos quadros de oficiais (26.1%)</x:v>
      </x:c>
      <x:c r="B8" s="477"/>
      <x:c r="C8" s="477"/>
      <x:c r="D8" s="477"/>
      <x:c r="E8" s="477"/>
      <x:c r="F8" s="477"/>
      <x:c r="G8" s="477"/>
      <x:c r="H8" s="477"/>
      <x:c r="I8" s="477"/>
      <x:c r="J8" s="478"/>
    </x:row>
    <x:row r="10" ht="28.5" customHeight="1">
      <x:c r="A10" s="483" t="str">
        <x:v>Nº</x:v>
      </x:c>
      <x:c r="B10" s="483" t="str">
        <x:v>POSTO / GRADUAÇÃO DE ORIGEM</x:v>
      </x:c>
      <x:c r="C10" s="483"/>
      <x:c r="D10" s="483"/>
      <x:c r="E10" s="483" t="str">
        <x:v>POSTO DE DESTINO</x:v>
      </x:c>
      <x:c r="F10" s="483"/>
      <x:c r="G10" s="483"/>
      <x:c r="H10" s="483" t="str">
        <x:v>QUANTIDADE</x:v>
      </x:c>
      <x:c r="I10" s="483" t="str">
        <x:v>% DO TOTAL</x:v>
      </x:c>
      <x:c r="J10" s="483" t="str">
        <x:v>CLASSIFICAÇÃO</x:v>
      </x:c>
    </x:row>
    <x:row r="11" ht="18.75" customHeight="1">
      <x:c r="A11" s="374" t="n">
        <x:v>1</x:v>
      </x:c>
      <x:c r="B11" s="374" t="str">
        <x:v>TEN-CEL QOPM</x:v>
      </x:c>
      <x:c r="C11" s="374"/>
      <x:c r="D11" s="374"/>
      <x:c r="E11" s="374" t="str">
        <x:v>CEL QOPM</x:v>
      </x:c>
      <x:c r="F11" s="374"/>
      <x:c r="G11" s="374"/>
      <x:c r="H11" s="378" t="n">
        <x:v>15</x:v>
      </x:c>
      <x:c r="I11" s="383" t="n">
        <x:f>IF($H$21=0,0,H11/$H$21)</x:f>
        <x:v>0.07246376811594203</x:v>
      </x:c>
      <x:c r="J11" s="374" t="str">
        <x:v>OFICIAIS</x:v>
      </x:c>
    </x:row>
    <x:row r="12" ht="18.75" customHeight="1">
      <x:c r="A12" s="484" t="n">
        <x:v>2</x:v>
      </x:c>
      <x:c r="B12" s="484" t="str">
        <x:v>TEN-CEL QOCPM</x:v>
      </x:c>
      <x:c r="C12" s="484"/>
      <x:c r="D12" s="484"/>
      <x:c r="E12" s="484" t="str">
        <x:v>CEL QOCPM</x:v>
      </x:c>
      <x:c r="F12" s="484"/>
      <x:c r="G12" s="484"/>
      <x:c r="H12" s="486" t="n">
        <x:v>0</x:v>
      </x:c>
      <x:c r="I12" s="488" t="n">
        <x:f>IF($H$21=0,0,H12/$H$21)</x:f>
        <x:v>0</x:v>
      </x:c>
      <x:c r="J12" s="484" t="str">
        <x:v>OFICIAIS</x:v>
      </x:c>
    </x:row>
    <x:row r="13" ht="18.75" customHeight="1">
      <x:c r="A13" s="376" t="n">
        <x:v>3</x:v>
      </x:c>
      <x:c r="B13" s="376" t="str">
        <x:v>MAJ QOPM</x:v>
      </x:c>
      <x:c r="C13" s="376"/>
      <x:c r="D13" s="376"/>
      <x:c r="E13" s="376" t="str">
        <x:v>TEN-CEL QOPM</x:v>
      </x:c>
      <x:c r="F13" s="376"/>
      <x:c r="G13" s="376"/>
      <x:c r="H13" s="380" t="n">
        <x:v>0</x:v>
      </x:c>
      <x:c r="I13" s="385" t="n">
        <x:f>IF($H$21=0,0,H13/$H$21)</x:f>
        <x:v>0</x:v>
      </x:c>
      <x:c r="J13" s="376" t="str">
        <x:v>OFICIAIS</x:v>
      </x:c>
    </x:row>
    <x:row r="14" ht="18.75" customHeight="1">
      <x:c r="A14" s="484" t="n">
        <x:v>4</x:v>
      </x:c>
      <x:c r="B14" s="484" t="str">
        <x:v>MAJ QOAPM</x:v>
      </x:c>
      <x:c r="C14" s="484"/>
      <x:c r="D14" s="484"/>
      <x:c r="E14" s="484" t="str">
        <x:v>TEN-CEL QOAPM</x:v>
      </x:c>
      <x:c r="F14" s="484"/>
      <x:c r="G14" s="484"/>
      <x:c r="H14" s="486" t="n">
        <x:v>4</x:v>
      </x:c>
      <x:c r="I14" s="488" t="n">
        <x:f>IF($H$21=0,0,H14/$H$21)</x:f>
        <x:v>0.01932367149758454</x:v>
      </x:c>
      <x:c r="J14" s="484" t="str">
        <x:v>OFICIAIS</x:v>
      </x:c>
    </x:row>
    <x:row r="15" ht="18.75" customHeight="1">
      <x:c r="A15" s="376" t="n">
        <x:v>5</x:v>
      </x:c>
      <x:c r="B15" s="376" t="str">
        <x:v>CAP QOPM</x:v>
      </x:c>
      <x:c r="C15" s="376"/>
      <x:c r="D15" s="376"/>
      <x:c r="E15" s="376" t="str">
        <x:v>MAJ QOPM</x:v>
      </x:c>
      <x:c r="F15" s="376"/>
      <x:c r="G15" s="376"/>
      <x:c r="H15" s="380" t="n">
        <x:v>0</x:v>
      </x:c>
      <x:c r="I15" s="385" t="n">
        <x:f>IF($H$21=0,0,H15/$H$21)</x:f>
        <x:v>0</x:v>
      </x:c>
      <x:c r="J15" s="376" t="str">
        <x:v>OFICIAIS</x:v>
      </x:c>
    </x:row>
    <x:row r="16" ht="18.75" customHeight="1">
      <x:c r="A16" s="484" t="n">
        <x:v>6</x:v>
      </x:c>
      <x:c r="B16" s="484" t="str">
        <x:v>CAP QOAPM</x:v>
      </x:c>
      <x:c r="C16" s="484"/>
      <x:c r="D16" s="484"/>
      <x:c r="E16" s="484" t="str">
        <x:v>MAJ QOAPM</x:v>
      </x:c>
      <x:c r="F16" s="484"/>
      <x:c r="G16" s="484"/>
      <x:c r="H16" s="486" t="n">
        <x:v>19</x:v>
      </x:c>
      <x:c r="I16" s="488" t="n">
        <x:f>IF($H$21=0,0,H16/$H$21)</x:f>
        <x:v>0.09178743961352658</x:v>
      </x:c>
      <x:c r="J16" s="484" t="str">
        <x:v>OFICIAIS</x:v>
      </x:c>
    </x:row>
    <x:row r="17" ht="18.75" customHeight="1">
      <x:c r="A17" s="376" t="n">
        <x:v>7</x:v>
      </x:c>
      <x:c r="B17" s="376" t="str">
        <x:v>1ºTEN QOPM</x:v>
      </x:c>
      <x:c r="C17" s="376"/>
      <x:c r="D17" s="376"/>
      <x:c r="E17" s="376" t="str">
        <x:v>CAP QOPM</x:v>
      </x:c>
      <x:c r="F17" s="376"/>
      <x:c r="G17" s="376"/>
      <x:c r="H17" s="380" t="n">
        <x:v>0</x:v>
      </x:c>
      <x:c r="I17" s="385" t="n">
        <x:f>IF($H$21=0,0,H17/$H$21)</x:f>
        <x:v>0</x:v>
      </x:c>
      <x:c r="J17" s="376" t="str">
        <x:v>OFICIAIS</x:v>
      </x:c>
    </x:row>
    <x:row r="18" ht="18.75" customHeight="1">
      <x:c r="A18" s="484" t="n">
        <x:v>8</x:v>
      </x:c>
      <x:c r="B18" s="484" t="str">
        <x:v>1ºTEN QOAPM</x:v>
      </x:c>
      <x:c r="C18" s="484"/>
      <x:c r="D18" s="484"/>
      <x:c r="E18" s="484" t="str">
        <x:v>CAP QOAPM</x:v>
      </x:c>
      <x:c r="F18" s="484"/>
      <x:c r="G18" s="484"/>
      <x:c r="H18" s="486" t="n">
        <x:v>13</x:v>
      </x:c>
      <x:c r="I18" s="488" t="n">
        <x:f>IF($H$21=0,0,H18/$H$21)</x:f>
        <x:v>0.06280193236714976</x:v>
      </x:c>
      <x:c r="J18" s="484" t="str">
        <x:v>OFICIAIS</x:v>
      </x:c>
    </x:row>
    <x:row r="19" ht="18.75" customHeight="1">
      <x:c r="A19" s="376" t="n">
        <x:v>9</x:v>
      </x:c>
      <x:c r="B19" s="376" t="str">
        <x:v>2ºTEN QOAPM</x:v>
      </x:c>
      <x:c r="C19" s="376"/>
      <x:c r="D19" s="376"/>
      <x:c r="E19" s="376" t="str">
        <x:v>1ºTEN QOAPM</x:v>
      </x:c>
      <x:c r="F19" s="376"/>
      <x:c r="G19" s="376"/>
      <x:c r="H19" s="380" t="n">
        <x:v>3</x:v>
      </x:c>
      <x:c r="I19" s="385" t="n">
        <x:f>IF($H$21=0,0,H19/$H$21)</x:f>
        <x:v>0.014492753623188406</x:v>
      </x:c>
      <x:c r="J19" s="376" t="str">
        <x:v>OFICIAIS</x:v>
      </x:c>
    </x:row>
    <x:row r="20" ht="18.75" customHeight="1">
      <x:c r="A20" s="485" t="n">
        <x:v>10</x:v>
      </x:c>
      <x:c r="B20" s="485" t="str">
        <x:v>SUBTEN PM</x:v>
      </x:c>
      <x:c r="C20" s="485"/>
      <x:c r="D20" s="485"/>
      <x:c r="E20" s="485" t="str">
        <x:v>2ºTEN QOAPM</x:v>
      </x:c>
      <x:c r="F20" s="485"/>
      <x:c r="G20" s="485"/>
      <x:c r="H20" s="487" t="n">
        <x:v>153</x:v>
      </x:c>
      <x:c r="I20" s="489" t="n">
        <x:f>IF($H$21=0,0,H20/$H$21)</x:f>
        <x:v>0.7391304347826086</x:v>
      </x:c>
      <x:c r="J20" s="485" t="str">
        <x:v>ACESSO AO OFICIALATO</x:v>
      </x:c>
    </x:row>
    <x:row r="21" ht="18.75" customHeight="1">
      <x:c r="A21" s="504" t="str">
        <x:v>TOTAL / RESULTADO</x:v>
      </x:c>
      <x:c r="B21" s="501"/>
      <x:c r="C21" s="501"/>
      <x:c r="D21" s="501"/>
      <x:c r="E21" s="501"/>
      <x:c r="F21" s="501"/>
      <x:c r="G21" s="501"/>
      <x:c r="H21" s="502" t="n">
        <x:f>SUM(H11:H20)</x:f>
        <x:v>207</x:v>
      </x:c>
      <x:c r="I21" s="503" t="n">
        <x:f>SUM(I11:I20)</x:f>
        <x:v>1</x:v>
      </x:c>
      <x:c r="J21" s="501" t="str">
        <x:v>2026</x:v>
      </x:c>
    </x:row>
    <x:row r="24" ht="22.5" customHeight="1">
      <x:c r="A24" s="507" t="str">
        <x:v>RESUMO POR GRUPO</x:v>
      </x:c>
      <x:c r="B24" s="507"/>
      <x:c r="C24" s="507"/>
      <x:c r="D24" s="507"/>
      <x:c r="E24" s="507"/>
      <x:c r="F24" s="507"/>
      <x:c r="G24" s="507"/>
      <x:c r="H24" s="507"/>
      <x:c r="I24" s="507"/>
      <x:c r="J24" s="507"/>
    </x:row>
    <x:row r="25" ht="22.5" customHeight="1">
      <x:c r="A25" s="510" t="str">
        <x:v>GRUPO</x:v>
      </x:c>
      <x:c r="B25" s="510"/>
      <x:c r="C25" s="510"/>
      <x:c r="D25" s="510"/>
      <x:c r="E25" s="510"/>
      <x:c r="F25" s="510"/>
      <x:c r="G25" s="510" t="str">
        <x:v>QUANTIDADE</x:v>
      </x:c>
      <x:c r="H25" s="510" t="str">
        <x:v>% DO TOTAL</x:v>
      </x:c>
      <x:c r="I25" s="510" t="str">
        <x:v>MODALIDADES</x:v>
      </x:c>
      <x:c r="J25" s="510" t="str">
        <x:v>COM REGISTROS</x:v>
      </x:c>
    </x:row>
    <x:row r="26" ht="19.5" customHeight="1">
      <x:c r="A26" s="369" t="str">
        <x:v>Promoções entre postos dos quadros de oficiais</x:v>
      </x:c>
      <x:c r="B26" s="369"/>
      <x:c r="C26" s="369"/>
      <x:c r="D26" s="369"/>
      <x:c r="E26" s="369"/>
      <x:c r="F26" s="369"/>
      <x:c r="G26" s="378" t="n">
        <x:f>SUM(H11:H19)</x:f>
        <x:v>54</x:v>
      </x:c>
      <x:c r="H26" s="383" t="n">
        <x:f>G26/$H$21</x:f>
        <x:v>0.2608695652173913</x:v>
      </x:c>
      <x:c r="I26" s="374" t="n">
        <x:v>9</x:v>
      </x:c>
      <x:c r="J26" s="374" t="n">
        <x:f>COUNTIF(H11:H19,"&gt;0")</x:f>
        <x:v>5</x:v>
      </x:c>
    </x:row>
    <x:row r="27" ht="19.5" customHeight="1">
      <x:c r="A27" s="371" t="str">
        <x:v>Acesso de praça ao oficialato: SUBTEN PM a 2ºTEN QOAPM</x:v>
      </x:c>
      <x:c r="B27" s="371"/>
      <x:c r="C27" s="371"/>
      <x:c r="D27" s="371"/>
      <x:c r="E27" s="371"/>
      <x:c r="F27" s="371"/>
      <x:c r="G27" s="419" t="n">
        <x:f>H20</x:f>
        <x:v>153</x:v>
      </x:c>
      <x:c r="H27" s="420" t="n">
        <x:f>G27/$H$21</x:f>
        <x:v>0.7391304347826086</x:v>
      </x:c>
      <x:c r="I27" s="418" t="n">
        <x:v>1</x:v>
      </x:c>
      <x:c r="J27" s="418" t="n">
        <x:f>COUNTIF(H20,"&gt;0")</x:f>
        <x:v>1</x:v>
      </x:c>
    </x:row>
    <x:row r="28" ht="19.5" customHeight="1">
      <x:c r="A28" s="504" t="str">
        <x:v>TOTAL</x:v>
      </x:c>
      <x:c r="B28" s="501"/>
      <x:c r="C28" s="501"/>
      <x:c r="D28" s="501"/>
      <x:c r="E28" s="501"/>
      <x:c r="F28" s="501"/>
      <x:c r="G28" s="502" t="n">
        <x:f>SUM(G26:G27)</x:f>
        <x:v>207</x:v>
      </x:c>
      <x:c r="H28" s="503" t="n">
        <x:f>SUM(H26:H27)</x:f>
        <x:v>1</x:v>
      </x:c>
      <x:c r="I28" s="501" t="n">
        <x:f>SUM(I26:I27)</x:f>
        <x:v>10</x:v>
      </x:c>
      <x:c r="J28" s="501" t="n">
        <x:f>SUM(J26:J27)</x:f>
        <x:v>6</x:v>
      </x:c>
    </x:row>
    <x:row r="31" ht="16.5" customHeight="1">
      <x:c r="A31" s="432" t="str">
        <x:v>Fonte: 2 - Relação dos PM (Promovidos na Promoção Requerida) - Atualizada - 21_08_2026.pdf</x:v>
      </x:c>
      <x:c r="B31" s="432"/>
      <x:c r="C31" s="432"/>
      <x:c r="D31" s="432"/>
      <x:c r="E31" s="432"/>
      <x:c r="F31" s="432"/>
      <x:c r="G31" s="432"/>
      <x:c r="H31" s="432"/>
      <x:c r="I31" s="432"/>
      <x:c r="J31" s="432"/>
    </x:row>
    <x:row r="32" ht="16.5" customHeight="1">
      <x:c r="A32" s="432" t="str">
        <x:v>Critério: contabilização exclusiva do ano de 2026, por modalidade de promoção, sem nomes ou matrículas.</x:v>
      </x:c>
      <x:c r="B32" s="432"/>
      <x:c r="C32" s="432"/>
      <x:c r="D32" s="432"/>
      <x:c r="E32" s="432"/>
      <x:c r="F32" s="432"/>
      <x:c r="G32" s="432"/>
      <x:c r="H32" s="432"/>
      <x:c r="I32" s="432"/>
      <x:c r="J32" s="432"/>
    </x:row>
    <x:row r="33" ht="16.5" customHeight="1">
      <x:c r="A33" s="432" t="str">
        <x:v>Observação: dados atualizados até 21/08/2026; o quantitativo não representa necessariamente o fechamento anual.</x:v>
      </x:c>
      <x:c r="B33" s="432"/>
      <x:c r="C33" s="432"/>
      <x:c r="D33" s="432"/>
      <x:c r="E33" s="432"/>
      <x:c r="F33" s="432"/>
      <x:c r="G33" s="432"/>
      <x:c r="H33" s="432"/>
      <x:c r="I33" s="432"/>
      <x:c r="J33" s="432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B10:D10"/>
    <x:mergeCell ref="E10:G10"/>
    <x:mergeCell ref="B11:D11"/>
    <x:mergeCell ref="E11:G11"/>
    <x:mergeCell ref="B12:D12"/>
    <x:mergeCell ref="E12:G12"/>
    <x:mergeCell ref="B13:D13"/>
    <x:mergeCell ref="E13:G13"/>
    <x:mergeCell ref="B14:D14"/>
    <x:mergeCell ref="E14:G14"/>
    <x:mergeCell ref="B15:D15"/>
    <x:mergeCell ref="E15:G15"/>
    <x:mergeCell ref="B16:D16"/>
    <x:mergeCell ref="E16:G16"/>
    <x:mergeCell ref="B17:D17"/>
    <x:mergeCell ref="E17:G17"/>
    <x:mergeCell ref="B18:D18"/>
    <x:mergeCell ref="E18:G18"/>
    <x:mergeCell ref="B19:D19"/>
    <x:mergeCell ref="E19:G19"/>
    <x:mergeCell ref="B20:D20"/>
    <x:mergeCell ref="E20:G20"/>
    <x:mergeCell ref="A21:G21"/>
    <x:mergeCell ref="A24:J24"/>
    <x:mergeCell ref="A25:F25"/>
    <x:mergeCell ref="A26:F26"/>
    <x:mergeCell ref="A27:F27"/>
    <x:mergeCell ref="A28:F28"/>
    <x:mergeCell ref="A31:J31"/>
    <x:mergeCell ref="A32:J32"/>
    <x:mergeCell ref="A33:J33"/>
  </x:mergeCells>
  <x:conditionalFormatting sqref="H11:H20">
    <x:cfRule type="cellIs" dxfId="10" priority="1" operator="equal">
      <x:formula>0</x:formula>
    </x:cfRule>
    <x:cfRule type="cellIs" dxfId="11" priority="2" operator="greaterThan">
      <x:formula>0</x:formula>
    </x:cfRule>
  </x:conditionalFormatting>
  <x:pageMargins left="0.7" right="0.7" top="0.75" bottom="0.75" header="0.3" footer="0.3"/>
</x:worksheet>
</file>